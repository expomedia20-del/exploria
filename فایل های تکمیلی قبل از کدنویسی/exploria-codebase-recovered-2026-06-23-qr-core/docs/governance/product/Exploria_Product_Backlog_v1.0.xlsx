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cf0312597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468378ba874ddd"/>
    <x:sheet xmlns:r="http://schemas.openxmlformats.org/officeDocument/2006/relationships" name="Backlog" sheetId="2" r:id="R9b6509aecf9b4c9a"/>
    <x:sheet xmlns:r="http://schemas.openxmlformats.org/officeDocument/2006/relationships" name="Epics" sheetId="3" r:id="R6e74d50a97304ae3"/>
    <x:sheet xmlns:r="http://schemas.openxmlformats.org/officeDocument/2006/relationships" name="Sprint Plan" sheetId="4" r:id="Reb53499f21c344fa"/>
    <x:sheet xmlns:r="http://schemas.openxmlformats.org/officeDocument/2006/relationships" name="CPL Traceability" sheetId="5" r:id="Ra527e954a6c34978"/>
    <x:sheet xmlns:r="http://schemas.openxmlformats.org/officeDocument/2006/relationships" name="DoD &amp; Gates" sheetId="6" r:id="R1e19a28083be4800"/>
    <x:sheet xmlns:r="http://schemas.openxmlformats.org/officeDocument/2006/relationships" name="Lists" sheetId="7" r:id="Rc96829dcc246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4EA3"/>
      </x:patternFill>
    </x:fill>
    <x:fill>
      <x:patternFill patternType="solid">
        <x:fgColor rgb="FF2F80E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f614972d94b9f" /><Relationship Type="http://schemas.openxmlformats.org/officeDocument/2006/relationships/theme" Target="/xl/theme/theme1.xml" Id="Rb4a6e157b8e04bf3" /><Relationship Type="http://schemas.openxmlformats.org/officeDocument/2006/relationships/sharedStrings" Target="/xl/sharedStrings.xml" Id="R196e44b9537c423e" /><Relationship Type="http://schemas.openxmlformats.org/officeDocument/2006/relationships/worksheet" Target="/xl/worksheets/sheet1.xml" Id="R53468378ba874ddd" /><Relationship Type="http://schemas.openxmlformats.org/officeDocument/2006/relationships/worksheet" Target="/xl/worksheets/sheet2.xml" Id="R9b6509aecf9b4c9a" /><Relationship Type="http://schemas.openxmlformats.org/officeDocument/2006/relationships/worksheet" Target="/xl/worksheets/sheet3.xml" Id="R6e74d50a97304ae3" /><Relationship Type="http://schemas.openxmlformats.org/officeDocument/2006/relationships/worksheet" Target="/xl/worksheets/sheet4.xml" Id="Reb53499f21c344fa" /><Relationship Type="http://schemas.openxmlformats.org/officeDocument/2006/relationships/worksheet" Target="/xl/worksheets/sheet5.xml" Id="Ra527e954a6c34978" /><Relationship Type="http://schemas.openxmlformats.org/officeDocument/2006/relationships/worksheet" Target="/xl/worksheets/sheet6.xml" Id="R1e19a28083be4800" /><Relationship Type="http://schemas.openxmlformats.org/officeDocument/2006/relationships/worksheet" Target="/xl/worksheets/sheet7.xml" Id="Rc96829dcc2464b66" /></Relationships>
</file>

<file path=xl/tables/table1.xml><?xml version="1.0" encoding="utf-8"?>
<x:table xmlns:x="http://schemas.openxmlformats.org/spreadsheetml/2006/main" id="1" name="BacklogTable" displayName="BacklogTable" ref="A1:S109" headerRowCount="1">
  <x:tableColumns count="19">
    <x:tableColumn id="1" name="Story ID"/>
    <x:tableColumn id="2" name="Epic ID"/>
    <x:tableColumn id="3" name="Epic"/>
    <x:tableColumn id="4" name="Module"/>
    <x:tableColumn id="5" name="Requirement ID"/>
    <x:tableColumn id="6" name="CPL Trace"/>
    <x:tableColumn id="7" name="User Role"/>
    <x:tableColumn id="8" name="User Story"/>
    <x:tableColumn id="9" name="Acceptance Criteria"/>
    <x:tableColumn id="10" name="Priority"/>
    <x:tableColumn id="11" name="MoSCoW"/>
    <x:tableColumn id="12" name="Release Scope"/>
    <x:tableColumn id="13" name="Sprint"/>
    <x:tableColumn id="14" name="Estimate"/>
    <x:tableColumn id="15" name="Dependencies"/>
    <x:tableColumn id="16" name="Status"/>
    <x:tableColumn id="17" name="Test Case ID"/>
    <x:tableColumn id="18" name="Test Case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picsTable" displayName="EpicsTable" ref="A1:L21" headerRowCount="1">
  <x:tableColumns count="12">
    <x:tableColumn id="1" name="Epic ID"/>
    <x:tableColumn id="2" name="Module"/>
    <x:tableColumn id="3" name="Epic Title"/>
    <x:tableColumn id="4" name="Module Name"/>
    <x:tableColumn id="5" name="CPL Trace"/>
    <x:tableColumn id="6" name="Goal"/>
    <x:tableColumn id="7" name="Story Count"/>
    <x:tableColumn id="8" name="Must"/>
    <x:tableColumn id="9" name="Should"/>
    <x:tableColumn id="10" name="Could"/>
    <x:tableColumn id="11" name="Scope"/>
    <x:tableColumn id="12" name="Primary Sprint"/>
  </x:tableColumns>
  <x:tableStyleInfo name="TableStyleMedium2" showRowStripes="1"/>
</x:table>
</file>

<file path=xl/tables/table3.xml><?xml version="1.0" encoding="utf-8"?>
<x:table xmlns:x="http://schemas.openxmlformats.org/spreadsheetml/2006/main" id="3" name="SprintPlanTable" displayName="SprintPlanTable" ref="A1:E8" headerRowCount="1">
  <x:tableColumns count="5">
    <x:tableColumn id="1" name="Sprint"/>
    <x:tableColumn id="2" name="Theme"/>
    <x:tableColumn id="3" name="Modules"/>
    <x:tableColumn id="4" name="Focus"/>
    <x:tableColumn id="5" name="Exit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CPLTraceTable" displayName="CPLTraceTable" ref="A1:E27" headerRowCount="1">
  <x:tableColumns count="5">
    <x:tableColumn id="1" name="CPL Code"/>
    <x:tableColumn id="2" name="Linked Story Count"/>
    <x:tableColumn id="3" name="Modules"/>
    <x:tableColumn id="4" name="Req IDs"/>
    <x:tableColumn id="5" name="Story IDs"/>
  </x:tableColumns>
  <x:tableStyleInfo name="TableStyleMedium2" showRowStripes="1"/>
</x:table>
</file>

<file path=xl/tables/table5.xml><?xml version="1.0" encoding="utf-8"?>
<x:table xmlns:x="http://schemas.openxmlformats.org/spreadsheetml/2006/main" id="5" name="DoDGatesTable" displayName="DoDGatesTable" ref="A1:D10" headerRowCount="1">
  <x:tableColumns count="4">
    <x:tableColumn id="1" name="ID"/>
    <x:tableColumn id="2" name="Area"/>
    <x:tableColumn id="3" name="Criterion"/>
    <x:tableColumn id="4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ListsTable" displayName="ListsTable" ref="A1:D7" headerRowCount="1">
  <x:tableColumns count="4">
    <x:tableColumn id="1" name="Priority"/>
    <x:tableColumn id="2" name="MoSCoW"/>
    <x:tableColumn id="3" name="Release Scope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7ea502e3e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9b9104290549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9e330fd89246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300cec37ae46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a250a302704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555d432da9455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EXPLORIA Product Backlog v1.0 - Dashboard</x:v>
      </x:c>
    </x:row>
    <x:row r="3">
      <x:c r="A3" s="10" t="str">
        <x:v>Metric</x:v>
      </x:c>
      <x:c r="B3" s="10" t="str">
        <x:v>Formula / Value</x:v>
      </x:c>
      <x:c r="C3" s="10" t="str">
        <x:v>Notes</x:v>
      </x:c>
    </x:row>
    <x:row r="4">
      <x:c r="A4" s="14" t="str">
        <x:v>Total User Stories</x:v>
      </x:c>
      <x:c r="B4" s="16" t="n">
        <x:f>COUNTA(Backlog!A2:A200)</x:f>
        <x:v>108</x:v>
      </x:c>
      <x:c r="C4" t="str">
        <x:v>Generated from FRD v1.1 requirements</x:v>
      </x:c>
    </x:row>
    <x:row r="5">
      <x:c r="A5" s="14" t="str">
        <x:v>P0 Stories</x:v>
      </x:c>
      <x:c r="B5" s="16" t="n">
        <x:f>COUNTIF(Backlog!J:J,"P0")</x:f>
        <x:v>39</x:v>
      </x:c>
      <x:c r="C5" t="str">
        <x:v>Critical for MVP/MVCP</x:v>
      </x:c>
    </x:row>
    <x:row r="6">
      <x:c r="A6" s="14" t="str">
        <x:v>P1 Stories</x:v>
      </x:c>
      <x:c r="B6" s="16" t="n">
        <x:f>COUNTIF(Backlog!J:J,"P1")</x:f>
        <x:v>38</x:v>
      </x:c>
      <x:c r="C6" t="str">
        <x:v>High priority</x:v>
      </x:c>
    </x:row>
    <x:row r="7">
      <x:c r="A7" s="14" t="str">
        <x:v>Must Requirements</x:v>
      </x:c>
      <x:c r="B7" s="16" t="n">
        <x:f>COUNTIF(Backlog!K:K,"Must")</x:f>
        <x:v>67</x:v>
      </x:c>
      <x:c r="C7" t="str">
        <x:v>Must-have scope</x:v>
      </x:c>
    </x:row>
    <x:row r="8">
      <x:c r="A8" s="14" t="str">
        <x:v>MVCP Stories</x:v>
      </x:c>
      <x:c r="B8" s="16" t="n">
        <x:f>COUNTIF(Backlog!L:L,"MVCP")+COUNTIF(Backlog!L:L,"MVP+MVCP")</x:f>
        <x:v>73</x:v>
      </x:c>
      <x:c r="C8" t="str">
        <x:v>Commercial pilot scope</x:v>
      </x:c>
    </x:row>
    <x:row r="9">
      <x:c r="A9" s="14" t="str">
        <x:v>MVP Stories</x:v>
      </x:c>
      <x:c r="B9" s="16" t="n">
        <x:f>COUNTIF(Backlog!L:L,"MVP")+COUNTIF(Backlog!L:L,"MVP+MVCP")</x:f>
        <x:v>72</x:v>
      </x:c>
      <x:c r="C9" t="str">
        <x:v>Software MVP scope</x:v>
      </x:c>
    </x:row>
    <x:row r="10">
      <x:c r="A10" s="14" t="str">
        <x:v>Total Estimate</x:v>
      </x:c>
      <x:c r="B10" s="16" t="n">
        <x:f>SUM(Backlog!N:N)</x:f>
        <x:v>602</x:v>
      </x:c>
      <x:c r="C10" t="str">
        <x:v>Story points</x:v>
      </x:c>
    </x:row>
    <x:row r="12">
      <x:c r="A12" s="10" t="str">
        <x:v>Status</x:v>
      </x:c>
      <x:c r="B12" s="10" t="str">
        <x:v>Count</x:v>
      </x:c>
      <x:c r="C12" s="10" t="str">
        <x:v>Priority</x:v>
      </x:c>
      <x:c r="D12" s="10" t="str">
        <x:v>Count</x:v>
      </x:c>
    </x:row>
    <x:row r="13">
      <x:c r="A13" t="str">
        <x:v>Not Started</x:v>
      </x:c>
      <x:c r="B13" t="n">
        <x:f>COUNTIF(Backlog!P:P,A13)</x:f>
        <x:v>108</x:v>
      </x:c>
      <x:c r="C13" t="str">
        <x:v>P0</x:v>
      </x:c>
      <x:c r="D13" t="n">
        <x:f>COUNTIF(Backlog!J:J,C13)</x:f>
        <x:v>39</x:v>
      </x:c>
    </x:row>
    <x:row r="14">
      <x:c r="A14" t="str">
        <x:v>In Progress</x:v>
      </x:c>
      <x:c r="B14" t="n">
        <x:f>COUNTIF(Backlog!P:P,A14)</x:f>
        <x:v>0</x:v>
      </x:c>
      <x:c r="C14" t="str">
        <x:v>P1</x:v>
      </x:c>
      <x:c r="D14" t="n">
        <x:f>COUNTIF(Backlog!J:J,C14)</x:f>
        <x:v>38</x:v>
      </x:c>
    </x:row>
    <x:row r="15">
      <x:c r="A15" t="str">
        <x:v>Ready for Review</x:v>
      </x:c>
      <x:c r="B15" t="n">
        <x:f>COUNTIF(Backlog!P:P,A15)</x:f>
        <x:v>0</x:v>
      </x:c>
      <x:c r="C15" t="str">
        <x:v>P2</x:v>
      </x:c>
      <x:c r="D15" t="n">
        <x:f>COUNTIF(Backlog!J:J,C15)</x:f>
        <x:v>27</x:v>
      </x:c>
    </x:row>
    <x:row r="16">
      <x:c r="A16" t="str">
        <x:v>Done</x:v>
      </x:c>
      <x:c r="B16" t="n">
        <x:f>COUNTIF(Backlog!P:P,A16)</x:f>
        <x:v>0</x:v>
      </x:c>
      <x:c r="C16" t="str">
        <x:v>P3</x:v>
      </x:c>
      <x:c r="D16" t="n">
        <x:f>COUNTIF(Backlog!J:J,C16)</x:f>
        <x:v>4</x:v>
      </x:c>
    </x:row>
    <x:row r="18">
      <x:c r="A18" s="10" t="str">
        <x:v>Sprint</x:v>
      </x:c>
      <x:c r="B18" s="10" t="str">
        <x:v>Story Count</x:v>
      </x:c>
      <x:c r="C18" s="10" t="str">
        <x:v>Estimate</x:v>
      </x:c>
    </x:row>
    <x:row r="19">
      <x:c r="A19" t="str">
        <x:v>Sprint 0</x:v>
      </x:c>
      <x:c r="B19" t="n">
        <x:f>COUNTIF(Backlog!M:M,A19)</x:f>
        <x:v>4</x:v>
      </x:c>
      <x:c r="C19" t="n">
        <x:f>SUMIF(Backlog!M:M,A19,Backlog!N:N)</x:f>
        <x:v>12</x:v>
      </x:c>
    </x:row>
    <x:row r="20">
      <x:c r="A20" t="str">
        <x:v>Sprint 1</x:v>
      </x:c>
      <x:c r="B20" t="n">
        <x:f>COUNTIF(Backlog!M:M,A20)</x:f>
        <x:v>18</x:v>
      </x:c>
      <x:c r="C20" t="n">
        <x:f>SUMIF(Backlog!M:M,A20,Backlog!N:N)</x:f>
        <x:v>102</x:v>
      </x:c>
    </x:row>
    <x:row r="21">
      <x:c r="A21" t="str">
        <x:v>Sprint 2</x:v>
      </x:c>
      <x:c r="B21" t="n">
        <x:f>COUNTIF(Backlog!M:M,A21)</x:f>
        <x:v>22</x:v>
      </x:c>
      <x:c r="C21" t="n">
        <x:f>SUMIF(Backlog!M:M,A21,Backlog!N:N)</x:f>
        <x:v>159</x:v>
      </x:c>
    </x:row>
    <x:row r="22">
      <x:c r="A22" t="str">
        <x:v>Sprint 3</x:v>
      </x:c>
      <x:c r="B22" t="n">
        <x:f>COUNTIF(Backlog!M:M,A22)</x:f>
        <x:v>21</x:v>
      </x:c>
      <x:c r="C22" t="n">
        <x:f>SUMIF(Backlog!M:M,A22,Backlog!N:N)</x:f>
        <x:v>94</x:v>
      </x:c>
    </x:row>
    <x:row r="23">
      <x:c r="A23" t="str">
        <x:v>Sprint 4</x:v>
      </x:c>
      <x:c r="B23" t="n">
        <x:f>COUNTIF(Backlog!M:M,A23)</x:f>
        <x:v>22</x:v>
      </x:c>
      <x:c r="C23" t="n">
        <x:f>SUMIF(Backlog!M:M,A23,Backlog!N:N)</x:f>
        <x:v>101</x:v>
      </x:c>
    </x:row>
    <x:row r="24">
      <x:c r="A24" t="str">
        <x:v>Sprint 5</x:v>
      </x:c>
      <x:c r="B24" t="n">
        <x:f>COUNTIF(Backlog!M:M,A24)</x:f>
        <x:v>21</x:v>
      </x:c>
      <x:c r="C24" t="n">
        <x:f>SUMIF(Backlog!M:M,A24,Backlog!N:N)</x:f>
        <x:v>134</x:v>
      </x:c>
    </x:row>
    <x:row r="25">
      <x:c r="A25" t="str">
        <x:v>Sprint 6</x:v>
      </x:c>
      <x:c r="B25" t="n">
        <x:f>COUNTIF(Backlog!M:M,A25)</x:f>
        <x:v>0</x:v>
      </x:c>
      <x:c r="C25" t="n">
        <x:f>SUMIF(Backlog!M:M,A25,Backlog!N:N)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14" hidden="0" customWidth="1"/>
    <x:col min="8" max="8" width="42" hidden="0" customWidth="1"/>
    <x:col min="9" max="9" width="4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  <x:col min="16" max="16" width="14" hidden="0" customWidth="1"/>
    <x:col min="17" max="17" width="14" hidden="0" customWidth="1"/>
    <x:col min="18" max="18" width="42" hidden="0" customWidth="1"/>
    <x:col min="19" max="19" width="42" hidden="0" customWidth="1"/>
  </x:cols>
  <x:sheetData>
    <x:row r="1" ht="28" customHeight="1">
      <x:c r="A1" s="21" t="str">
        <x:v>Story ID</x:v>
      </x:c>
      <x:c r="B1" s="21" t="str">
        <x:v>Epic ID</x:v>
      </x:c>
      <x:c r="C1" s="21" t="str">
        <x:v>Epic</x:v>
      </x:c>
      <x:c r="D1" s="21" t="str">
        <x:v>Module</x:v>
      </x:c>
      <x:c r="E1" s="21" t="str">
        <x:v>Requirement ID</x:v>
      </x:c>
      <x:c r="F1" s="21" t="str">
        <x:v>CPL Trace</x:v>
      </x:c>
      <x:c r="G1" s="21" t="str">
        <x:v>User Role</x:v>
      </x:c>
      <x:c r="H1" s="21" t="str">
        <x:v>User Story</x:v>
      </x:c>
      <x:c r="I1" s="21" t="str">
        <x:v>Acceptance Criteria</x:v>
      </x:c>
      <x:c r="J1" s="21" t="str">
        <x:v>Priority</x:v>
      </x:c>
      <x:c r="K1" s="21" t="str">
        <x:v>MoSCoW</x:v>
      </x:c>
      <x:c r="L1" s="21" t="str">
        <x:v>Release Scope</x:v>
      </x:c>
      <x:c r="M1" s="21" t="str">
        <x:v>Sprint</x:v>
      </x:c>
      <x:c r="N1" s="21" t="str">
        <x:v>Estimate</x:v>
      </x:c>
      <x:c r="O1" s="21" t="str">
        <x:v>Dependencies</x:v>
      </x:c>
      <x:c r="P1" s="21" t="str">
        <x:v>Status</x:v>
      </x:c>
      <x:c r="Q1" s="21" t="str">
        <x:v>Test Case ID</x:v>
      </x:c>
      <x:c r="R1" s="21" t="str">
        <x:v>Test Case</x:v>
      </x:c>
      <x:c r="S1" s="21" t="str">
        <x:v>Notes</x:v>
      </x:c>
    </x:row>
    <x:row r="2">
      <x:c r="A2" s="28" t="str">
        <x:v>US-001</x:v>
      </x:c>
      <x:c r="B2" s="28" t="str">
        <x:v>EPIC-00</x:v>
      </x:c>
      <x:c r="C2" s="28" t="str">
        <x:v>Release Boundaries &amp; Traceability</x:v>
      </x:c>
      <x:c r="D2" s="28" t="str">
        <x:v>REL</x:v>
      </x:c>
      <x:c r="E2" s="28" t="str">
        <x:v>REL-001</x:v>
      </x:c>
      <x:c r="F2" s="28" t="str">
        <x:v>CPL-26، CPL-01..CPL-26</x:v>
      </x:c>
      <x:c r="G2" s="28" t="str">
        <x:v>Product Owner / Business Analyst</x:v>
      </x:c>
      <x:c r="H2" s="28" t="str">
        <x:v>به‌عنوان Product Owner / Business Analyst می‌خواهم سیستم مستندسازی باید هر Requirement را به BRD v1.1 و حداقل یک CPL متصل کند. تا اجرای پایلوت و سنجش آن مطابق FRD v1.1 کنترل شود.</x:v>
      </x:c>
      <x:c r="I2" s="28" t="str">
        <x:v>هیچ Requirement بدون Trace وارد Product Backlog نشود.</x:v>
      </x:c>
      <x:c r="J2" s="28" t="str">
        <x:v>P1</x:v>
      </x:c>
      <x:c r="K2" s="28" t="str">
        <x:v>Must</x:v>
      </x:c>
      <x:c r="L2" s="28" t="str">
        <x:v>MVP+MVCP</x:v>
      </x:c>
      <x:c r="M2" s="28" t="str">
        <x:v>Sprint 0</x:v>
      </x:c>
      <x:c r="N2" s="28" t="n">
        <x:v>3</x:v>
      </x:c>
      <x:c r="O2" s="28" t="str">
        <x:v>BRD v1.1, CPL Lock Register</x:v>
      </x:c>
      <x:c r="P2" s="28" t="str">
        <x:v>Not Started</x:v>
      </x:c>
      <x:c r="Q2" s="28" t="str">
        <x:v>TC-001</x:v>
      </x:c>
      <x:c r="R2" s="28" t="str">
        <x:v>بررسی شود که REL-001 اجرا شده و معیار پذیرش آن برقرار است: هیچ Requirement بدون Trace وارد Product Backlog نشود.</x:v>
      </x:c>
      <x:c r="S2" s="28" t="str">
        <x:v>Generated from FRD v1.1</x:v>
      </x:c>
    </x:row>
    <x:row r="3">
      <x:c r="A3" s="28" t="str">
        <x:v>US-002</x:v>
      </x:c>
      <x:c r="B3" s="28" t="str">
        <x:v>EPIC-00</x:v>
      </x:c>
      <x:c r="C3" s="28" t="str">
        <x:v>Release Boundaries &amp; Traceability</x:v>
      </x:c>
      <x:c r="D3" s="28" t="str">
        <x:v>REL</x:v>
      </x:c>
      <x:c r="E3" s="28" t="str">
        <x:v>REL-002</x:v>
      </x:c>
      <x:c r="F3" s="28" t="str">
        <x:v>CPL-26، CPL-01..CPL-26</x:v>
      </x:c>
      <x:c r="G3" s="28" t="str">
        <x:v>Product Owner / Business Analyst</x:v>
      </x:c>
      <x:c r="H3" s="28" t="str">
        <x:v>به‌عنوان Product Owner / Business Analyst می‌خواهم هر قابلیت باید وضعیت Demo / MVP / MVCP / Product داشته باشد. تا اجرای پایلوت و سنجش آن مطابق FRD v1.1 کنترل شود.</x:v>
      </x:c>
      <x:c r="I3" s="28" t="str">
        <x:v>Backlog بتواند قابلیت‌های غیر MVP را جدا نگه دارد.</x:v>
      </x:c>
      <x:c r="J3" s="28" t="str">
        <x:v>P1</x:v>
      </x:c>
      <x:c r="K3" s="28" t="str">
        <x:v>Must</x:v>
      </x:c>
      <x:c r="L3" s="28" t="str">
        <x:v>MVP+MVCP</x:v>
      </x:c>
      <x:c r="M3" s="28" t="str">
        <x:v>Sprint 0</x:v>
      </x:c>
      <x:c r="N3" s="28" t="n">
        <x:v>3</x:v>
      </x:c>
      <x:c r="O3" s="28" t="str">
        <x:v>BRD v1.1, CPL Lock Register</x:v>
      </x:c>
      <x:c r="P3" s="28" t="str">
        <x:v>Not Started</x:v>
      </x:c>
      <x:c r="Q3" s="28" t="str">
        <x:v>TC-002</x:v>
      </x:c>
      <x:c r="R3" s="28" t="str">
        <x:v>بررسی شود که REL-002 اجرا شده و معیار پذیرش آن برقرار است: Backlog بتواند قابلیت‌های غیر MVP را جدا نگه دارد.</x:v>
      </x:c>
      <x:c r="S3" s="28" t="str">
        <x:v>Generated from FRD v1.1</x:v>
      </x:c>
    </x:row>
    <x:row r="4">
      <x:c r="A4" s="28" t="str">
        <x:v>US-003</x:v>
      </x:c>
      <x:c r="B4" s="28" t="str">
        <x:v>EPIC-00</x:v>
      </x:c>
      <x:c r="C4" s="28" t="str">
        <x:v>Release Boundaries &amp; Traceability</x:v>
      </x:c>
      <x:c r="D4" s="28" t="str">
        <x:v>REL</x:v>
      </x:c>
      <x:c r="E4" s="28" t="str">
        <x:v>REL-003</x:v>
      </x:c>
      <x:c r="F4" s="28" t="str">
        <x:v>CPL-26، CPL-01..CPL-26</x:v>
      </x:c>
      <x:c r="G4" s="28" t="str">
        <x:v>Product Owner / Business Analyst</x:v>
      </x:c>
      <x:c r="H4" s="28" t="str">
        <x:v>به‌عنوان Product Owner / Business Analyst می‌خواهم تغییر دامنه باید به Change Request با دلیل، اثر و تصمیم مالک پروژه متصل شود. تا اجرای پایلوت و سنجش آن مطابق FRD v1.1 کنترل شود.</x:v>
      </x:c>
      <x:c r="I4" s="28" t="str">
        <x:v>حذف یا کاهش CPL بدون Change Request ممکن نباشد.</x:v>
      </x:c>
      <x:c r="J4" s="28" t="str">
        <x:v>P1</x:v>
      </x:c>
      <x:c r="K4" s="28" t="str">
        <x:v>Must</x:v>
      </x:c>
      <x:c r="L4" s="28" t="str">
        <x:v>MVP+MVCP</x:v>
      </x:c>
      <x:c r="M4" s="28" t="str">
        <x:v>Sprint 0</x:v>
      </x:c>
      <x:c r="N4" s="28" t="n">
        <x:v>3</x:v>
      </x:c>
      <x:c r="O4" s="28" t="str">
        <x:v>BRD v1.1, CPL Lock Register</x:v>
      </x:c>
      <x:c r="P4" s="28" t="str">
        <x:v>Not Started</x:v>
      </x:c>
      <x:c r="Q4" s="28" t="str">
        <x:v>TC-003</x:v>
      </x:c>
      <x:c r="R4" s="28" t="str">
        <x:v>بررسی شود که REL-003 اجرا شده و معیار پذیرش آن برقرار است: حذف یا کاهش CPL بدون Change Request ممکن نباشد.</x:v>
      </x:c>
      <x:c r="S4" s="28" t="str">
        <x:v>Generated from FRD v1.1</x:v>
      </x:c>
    </x:row>
    <x:row r="5">
      <x:c r="A5" s="28" t="str">
        <x:v>US-004</x:v>
      </x:c>
      <x:c r="B5" s="28" t="str">
        <x:v>EPIC-00</x:v>
      </x:c>
      <x:c r="C5" s="28" t="str">
        <x:v>Release Boundaries &amp; Traceability</x:v>
      </x:c>
      <x:c r="D5" s="28" t="str">
        <x:v>REL</x:v>
      </x:c>
      <x:c r="E5" s="28" t="str">
        <x:v>REL-004</x:v>
      </x:c>
      <x:c r="F5" s="28" t="str">
        <x:v>CPL-26، CPL-01..CPL-26</x:v>
      </x:c>
      <x:c r="G5" s="28" t="str">
        <x:v>Product Owner / Business Analyst</x:v>
      </x:c>
      <x:c r="H5" s="28" t="str">
        <x:v>به‌عنوان Product Owner / Business Analyst می‌خواهم داشبورد مدیریتی داخلی بتواند وضعیت پوشش CPLها را نشان دهد. تا اجرای پایلوت و سنجش آن مطابق FRD v1.1 کنترل شود.</x:v>
      </x:c>
      <x:c r="I5" s="28" t="str">
        <x:v>برای هر CPL حداقل یک Requirement یا Rule دیده شود.</x:v>
      </x:c>
      <x:c r="J5" s="28" t="str">
        <x:v>P2</x:v>
      </x:c>
      <x:c r="K5" s="28" t="str">
        <x:v>Should</x:v>
      </x:c>
      <x:c r="L5" s="28" t="str">
        <x:v>MVP+MVCP</x:v>
      </x:c>
      <x:c r="M5" s="28" t="str">
        <x:v>Sprint 0</x:v>
      </x:c>
      <x:c r="N5" s="28" t="n">
        <x:v>3</x:v>
      </x:c>
      <x:c r="O5" s="28" t="str">
        <x:v>BRD v1.1, CPL Lock Register</x:v>
      </x:c>
      <x:c r="P5" s="28" t="str">
        <x:v>Not Started</x:v>
      </x:c>
      <x:c r="Q5" s="28" t="str">
        <x:v>TC-004</x:v>
      </x:c>
      <x:c r="R5" s="28" t="str">
        <x:v>بررسی شود که REL-004 اجرا شده و معیار پذیرش آن برقرار است: برای هر CPL حداقل یک Requirement یا Rule دیده شود.</x:v>
      </x:c>
      <x:c r="S5" s="28" t="str">
        <x:v>Generated from FRD v1.1</x:v>
      </x:c>
    </x:row>
    <x:row r="6">
      <x:c r="A6" s="28" t="str">
        <x:v>US-005</x:v>
      </x:c>
      <x:c r="B6" s="28" t="str">
        <x:v>EPIC-01</x:v>
      </x:c>
      <x:c r="C6" s="28" t="str">
        <x:v>Authentication, Consent &amp; PWA Access</x:v>
      </x:c>
      <x:c r="D6" s="28" t="str">
        <x:v>AUTH</x:v>
      </x:c>
      <x:c r="E6" s="28" t="str">
        <x:v>AUTH-001</x:v>
      </x:c>
      <x:c r="F6" s="28" t="str">
        <x:v>CPL-17، CPL-18، CPL-23، CPL-26</x:v>
      </x:c>
      <x:c r="G6" s="28" t="str">
        <x:v>بازدیدکننده</x:v>
      </x:c>
      <x:c r="H6" s="28" t="str">
        <x:v>به‌عنوان بازدیدکننده می‌خواهم کاربر باید بتواند با موبایل و OTP وارد تجربه شود. تا اجرای پایلوت و سنجش آن مطابق FRD v1.1 کنترل شود.</x:v>
      </x:c>
      <x:c r="I6" s="28" t="str">
        <x:v>ورود موفق در شرایط عادی کمتر از 60 ثانیه انجام شود.</x:v>
      </x:c>
      <x:c r="J6" s="28" t="str">
        <x:v>P0</x:v>
      </x:c>
      <x:c r="K6" s="28" t="str">
        <x:v>Must</x:v>
      </x:c>
      <x:c r="L6" s="28" t="str">
        <x:v>MVP</x:v>
      </x:c>
      <x:c r="M6" s="28" t="str">
        <x:v>Sprint 1</x:v>
      </x:c>
      <x:c r="N6" s="28" t="n">
        <x:v>5</x:v>
      </x:c>
      <x:c r="O6" s="28" t="str">
        <x:v>REL-001, DATA-002</x:v>
      </x:c>
      <x:c r="P6" s="28" t="str">
        <x:v>Not Started</x:v>
      </x:c>
      <x:c r="Q6" s="28" t="str">
        <x:v>TC-005</x:v>
      </x:c>
      <x:c r="R6" s="28" t="str">
        <x:v>بررسی شود که AUTH-001 اجرا شده و معیار پذیرش آن برقرار است: ورود موفق در شرایط عادی کمتر از 60 ثانیه انجام شود.</x:v>
      </x:c>
      <x:c r="S6" s="28" t="str">
        <x:v>Generated from FRD v1.1</x:v>
      </x:c>
    </x:row>
    <x:row r="7">
      <x:c r="A7" s="28" t="str">
        <x:v>US-006</x:v>
      </x:c>
      <x:c r="B7" s="28" t="str">
        <x:v>EPIC-01</x:v>
      </x:c>
      <x:c r="C7" s="28" t="str">
        <x:v>Authentication, Consent &amp; PWA Access</x:v>
      </x:c>
      <x:c r="D7" s="28" t="str">
        <x:v>AUTH</x:v>
      </x:c>
      <x:c r="E7" s="28" t="str">
        <x:v>AUTH-002</x:v>
      </x:c>
      <x:c r="F7" s="28" t="str">
        <x:v>CPL-17، CPL-18، CPL-23، CPL-26</x:v>
      </x:c>
      <x:c r="G7" s="28" t="str">
        <x:v>بازدیدکننده</x:v>
      </x:c>
      <x:c r="H7" s="28" t="str">
        <x:v>به‌عنوان بازدیدکننده می‌خواهم سیستم باید ثبت رضایت پایه را قبل از ورود به تجربه اصلی انجام دهد. تا اجرای پایلوت و سنجش آن مطابق FRD v1.1 کنترل شود.</x:v>
      </x:c>
      <x:c r="I7" s="28" t="str">
        <x:v>ConsentLog شامل نسخه متن، زمان و منبع ثبت شود.</x:v>
      </x:c>
      <x:c r="J7" s="28" t="str">
        <x:v>P0</x:v>
      </x:c>
      <x:c r="K7" s="28" t="str">
        <x:v>Must</x:v>
      </x:c>
      <x:c r="L7" s="28" t="str">
        <x:v>MVP</x:v>
      </x:c>
      <x:c r="M7" s="28" t="str">
        <x:v>Sprint 1</x:v>
      </x:c>
      <x:c r="N7" s="28" t="n">
        <x:v>5</x:v>
      </x:c>
      <x:c r="O7" s="28" t="str">
        <x:v>REL-001, DATA-002</x:v>
      </x:c>
      <x:c r="P7" s="28" t="str">
        <x:v>Not Started</x:v>
      </x:c>
      <x:c r="Q7" s="28" t="str">
        <x:v>TC-006</x:v>
      </x:c>
      <x:c r="R7" s="28" t="str">
        <x:v>بررسی شود که AUTH-002 اجرا شده و معیار پذیرش آن برقرار است: ConsentLog شامل نسخه متن، زمان و منبع ثبت شود.</x:v>
      </x:c>
      <x:c r="S7" s="28" t="str">
        <x:v>Generated from FRD v1.1</x:v>
      </x:c>
    </x:row>
    <x:row r="8">
      <x:c r="A8" s="28" t="str">
        <x:v>US-007</x:v>
      </x:c>
      <x:c r="B8" s="28" t="str">
        <x:v>EPIC-01</x:v>
      </x:c>
      <x:c r="C8" s="28" t="str">
        <x:v>Authentication, Consent &amp; PWA Access</x:v>
      </x:c>
      <x:c r="D8" s="28" t="str">
        <x:v>AUTH</x:v>
      </x:c>
      <x:c r="E8" s="28" t="str">
        <x:v>AUTH-003</x:v>
      </x:c>
      <x:c r="F8" s="28" t="str">
        <x:v>CPL-17، CPL-18، CPL-23، CPL-26</x:v>
      </x:c>
      <x:c r="G8" s="28" t="str">
        <x:v>بازدیدکننده</x:v>
      </x:c>
      <x:c r="H8" s="28" t="str">
        <x:v>به‌عنوان بازدیدکننده می‌خواهم ورود باید برای تجربه PWA/Web App بدون نصب اجباری طراحی شود. تا اجرای پایلوت و سنجش آن مطابق FRD v1.1 کنترل شود.</x:v>
      </x:c>
      <x:c r="I8" s="28" t="str">
        <x:v>کاربر پس از اسکن QR مستقیم به صفحه مناسب برسد.</x:v>
      </x:c>
      <x:c r="J8" s="28" t="str">
        <x:v>P0</x:v>
      </x:c>
      <x:c r="K8" s="28" t="str">
        <x:v>Must</x:v>
      </x:c>
      <x:c r="L8" s="28" t="str">
        <x:v>MVP</x:v>
      </x:c>
      <x:c r="M8" s="28" t="str">
        <x:v>Sprint 1</x:v>
      </x:c>
      <x:c r="N8" s="28" t="n">
        <x:v>5</x:v>
      </x:c>
      <x:c r="O8" s="28" t="str">
        <x:v>REL-001, DATA-002</x:v>
      </x:c>
      <x:c r="P8" s="28" t="str">
        <x:v>Not Started</x:v>
      </x:c>
      <x:c r="Q8" s="28" t="str">
        <x:v>TC-007</x:v>
      </x:c>
      <x:c r="R8" s="28" t="str">
        <x:v>بررسی شود که AUTH-003 اجرا شده و معیار پذیرش آن برقرار است: کاربر پس از اسکن QR مستقیم به صفحه مناسب برسد.</x:v>
      </x:c>
      <x:c r="S8" s="28" t="str">
        <x:v>Generated from FRD v1.1</x:v>
      </x:c>
    </x:row>
    <x:row r="9">
      <x:c r="A9" s="28" t="str">
        <x:v>US-008</x:v>
      </x:c>
      <x:c r="B9" s="28" t="str">
        <x:v>EPIC-01</x:v>
      </x:c>
      <x:c r="C9" s="28" t="str">
        <x:v>Authentication, Consent &amp; PWA Access</x:v>
      </x:c>
      <x:c r="D9" s="28" t="str">
        <x:v>AUTH</x:v>
      </x:c>
      <x:c r="E9" s="28" t="str">
        <x:v>AUTH-004</x:v>
      </x:c>
      <x:c r="F9" s="28" t="str">
        <x:v>CPL-17، CPL-18، CPL-23، CPL-26</x:v>
      </x:c>
      <x:c r="G9" s="28" t="str">
        <x:v>بازدیدکننده</x:v>
      </x:c>
      <x:c r="H9" s="28" t="str">
        <x:v>به‌عنوان بازدیدکننده می‌خواهم OTP باید محدودیت زمان، تلاش و ارسال مجدد داشته باشد. تا اجرای پایلوت و سنجش آن مطابق FRD v1.1 کنترل شود.</x:v>
      </x:c>
      <x:c r="I9" s="28" t="str">
        <x:v>OTP منقضی یا تلاش غیرمجاز رد شود.</x:v>
      </x:c>
      <x:c r="J9" s="28" t="str">
        <x:v>P0</x:v>
      </x:c>
      <x:c r="K9" s="28" t="str">
        <x:v>Must</x:v>
      </x:c>
      <x:c r="L9" s="28" t="str">
        <x:v>MVP</x:v>
      </x:c>
      <x:c r="M9" s="28" t="str">
        <x:v>Sprint 1</x:v>
      </x:c>
      <x:c r="N9" s="28" t="n">
        <x:v>5</x:v>
      </x:c>
      <x:c r="O9" s="28" t="str">
        <x:v>REL-001, DATA-002</x:v>
      </x:c>
      <x:c r="P9" s="28" t="str">
        <x:v>Not Started</x:v>
      </x:c>
      <x:c r="Q9" s="28" t="str">
        <x:v>TC-008</x:v>
      </x:c>
      <x:c r="R9" s="28" t="str">
        <x:v>بررسی شود که AUTH-004 اجرا شده و معیار پذیرش آن برقرار است: OTP منقضی یا تلاش غیرمجاز رد شود.</x:v>
      </x:c>
      <x:c r="S9" s="28" t="str">
        <x:v>Generated from FRD v1.1</x:v>
      </x:c>
    </x:row>
    <x:row r="10">
      <x:c r="A10" s="28" t="str">
        <x:v>US-009</x:v>
      </x:c>
      <x:c r="B10" s="28" t="str">
        <x:v>EPIC-01</x:v>
      </x:c>
      <x:c r="C10" s="28" t="str">
        <x:v>Authentication, Consent &amp; PWA Access</x:v>
      </x:c>
      <x:c r="D10" s="28" t="str">
        <x:v>AUTH</x:v>
      </x:c>
      <x:c r="E10" s="28" t="str">
        <x:v>AUTH-005</x:v>
      </x:c>
      <x:c r="F10" s="28" t="str">
        <x:v>CPL-17، CPL-18، CPL-23، CPL-26</x:v>
      </x:c>
      <x:c r="G10" s="28" t="str">
        <x:v>بازدیدکننده</x:v>
      </x:c>
      <x:c r="H10" s="28" t="str">
        <x:v>به‌عنوان بازدیدکننده می‌خواهم در حالت اینترنت ضعیف، سفیر بتواند مسیر راهنمایی یا ثبت خطای ورود را فعال کند. تا اجرای پایلوت و سنجش آن مطابق FRD v1.1 کنترل شود.</x:v>
      </x:c>
      <x:c r="I10" s="28" t="str">
        <x:v>خطای ورود به Issue Log یا Offline Log منتقل شود.</x:v>
      </x:c>
      <x:c r="J10" s="28" t="str">
        <x:v>P2</x:v>
      </x:c>
      <x:c r="K10" s="28" t="str">
        <x:v>Should</x:v>
      </x:c>
      <x:c r="L10" s="28" t="str">
        <x:v>MVP</x:v>
      </x:c>
      <x:c r="M10" s="28" t="str">
        <x:v>Sprint 1</x:v>
      </x:c>
      <x:c r="N10" s="28" t="n">
        <x:v>3</x:v>
      </x:c>
      <x:c r="O10" s="28" t="str">
        <x:v>REL-001, DATA-002</x:v>
      </x:c>
      <x:c r="P10" s="28" t="str">
        <x:v>Not Started</x:v>
      </x:c>
      <x:c r="Q10" s="28" t="str">
        <x:v>TC-009</x:v>
      </x:c>
      <x:c r="R10" s="28" t="str">
        <x:v>بررسی شود که AUTH-005 اجرا شده و معیار پذیرش آن برقرار است: خطای ورود به Issue Log یا Offline Log منتقل شود.</x:v>
      </x:c>
      <x:c r="S10" s="28" t="str">
        <x:v>Generated from FRD v1.1</x:v>
      </x:c>
    </x:row>
    <x:row r="11">
      <x:c r="A11" s="28" t="str">
        <x:v>US-010</x:v>
      </x:c>
      <x:c r="B11" s="28" t="str">
        <x:v>EPIC-01</x:v>
      </x:c>
      <x:c r="C11" s="28" t="str">
        <x:v>Authentication, Consent &amp; PWA Access</x:v>
      </x:c>
      <x:c r="D11" s="28" t="str">
        <x:v>AUTH</x:v>
      </x:c>
      <x:c r="E11" s="28" t="str">
        <x:v>AUTH-006</x:v>
      </x:c>
      <x:c r="F11" s="28" t="str">
        <x:v>CPL-17، CPL-18، CPL-23، CPL-26</x:v>
      </x:c>
      <x:c r="G11" s="28" t="str">
        <x:v>بازدیدکننده</x:v>
      </x:c>
      <x:c r="H11" s="28" t="str">
        <x:v>به‌عنوان بازدیدکننده می‌خواهم برای گردشگران خارجی، زیرساخت ورود چندزبانه در فاز بعد آماده باشد. تا اجرای پایلوت و سنجش آن مطابق FRD v1.1 کنترل شود.</x:v>
      </x:c>
      <x:c r="I11" s="28" t="str">
        <x:v>فیلد زبان و متن رضایت قابل نسخه‌بندی باشد.</x:v>
      </x:c>
      <x:c r="J11" s="28" t="str">
        <x:v>P3</x:v>
      </x:c>
      <x:c r="K11" s="28" t="str">
        <x:v>Could</x:v>
      </x:c>
      <x:c r="L11" s="28" t="str">
        <x:v>MVP</x:v>
      </x:c>
      <x:c r="M11" s="28" t="str">
        <x:v>Sprint 1</x:v>
      </x:c>
      <x:c r="N11" s="28" t="n">
        <x:v>2</x:v>
      </x:c>
      <x:c r="O11" s="28" t="str">
        <x:v>REL-001, DATA-002</x:v>
      </x:c>
      <x:c r="P11" s="28" t="str">
        <x:v>Not Started</x:v>
      </x:c>
      <x:c r="Q11" s="28" t="str">
        <x:v>TC-010</x:v>
      </x:c>
      <x:c r="R11" s="28" t="str">
        <x:v>بررسی شود که AUTH-006 اجرا شده و معیار پذیرش آن برقرار است: فیلد زبان و متن رضایت قابل نسخه‌بندی باشد.</x:v>
      </x:c>
      <x:c r="S11" s="28" t="str">
        <x:v>Generated from FRD v1.1</x:v>
      </x:c>
    </x:row>
    <x:row r="12">
      <x:c r="A12" s="28" t="str">
        <x:v>US-011</x:v>
      </x:c>
      <x:c r="B12" s="28" t="str">
        <x:v>EPIC-02</x:v>
      </x:c>
      <x:c r="C12" s="28" t="str">
        <x:v>Venue, Zone, Hub &amp; Touchpoints</x:v>
      </x:c>
      <x:c r="D12" s="28" t="str">
        <x:v>VENUE</x:v>
      </x:c>
      <x:c r="E12" s="28" t="str">
        <x:v>VENUE-001</x:v>
      </x:c>
      <x:c r="F12" s="28" t="str">
        <x:v>CPL-05، CPL-06، CPL-20، CPL-25</x:v>
      </x:c>
      <x:c r="G12" s="28" t="str">
        <x:v>ادمین عملیات</x:v>
      </x:c>
      <x:c r="H12" s="28" t="str">
        <x:v>به‌عنوان ادمین عملیات می‌خواهم ادمین باید بتواند Venue تعریف کند و آن را به پایلوت‌ها، کمپین‌ها و گزارش‌ها وصل کند. تا اجرای پایلوت و سنجش آن مطابق FRD v1.1 کنترل شود.</x:v>
      </x:c>
      <x:c r="I12" s="28" t="str">
        <x:v>EcoPark، Eram و Milad Tower به‌عنوان Venue قابل تعریف باشند.</x:v>
      </x:c>
      <x:c r="J12" s="28" t="str">
        <x:v>P0</x:v>
      </x:c>
      <x:c r="K12" s="28" t="str">
        <x:v>Must</x:v>
      </x:c>
      <x:c r="L12" s="28" t="str">
        <x:v>MVP+MVCP</x:v>
      </x:c>
      <x:c r="M12" s="28" t="str">
        <x:v>Sprint 1</x:v>
      </x:c>
      <x:c r="N12" s="28" t="n">
        <x:v>8</x:v>
      </x:c>
      <x:c r="O12" s="28" t="str">
        <x:v>REL-001</x:v>
      </x:c>
      <x:c r="P12" s="28" t="str">
        <x:v>Not Started</x:v>
      </x:c>
      <x:c r="Q12" s="28" t="str">
        <x:v>TC-011</x:v>
      </x:c>
      <x:c r="R12" s="28" t="str">
        <x:v>بررسی شود که VENUE-001 اجرا شده و معیار پذیرش آن برقرار است: EcoPark، Eram و Milad Tower به‌عنوان Venue قابل تعریف باشند.</x:v>
      </x:c>
      <x:c r="S12" s="28" t="str">
        <x:v>Generated from FRD v1.1</x:v>
      </x:c>
    </x:row>
    <x:row r="13">
      <x:c r="A13" s="28" t="str">
        <x:v>US-012</x:v>
      </x:c>
      <x:c r="B13" s="28" t="str">
        <x:v>EPIC-02</x:v>
      </x:c>
      <x:c r="C13" s="28" t="str">
        <x:v>Venue, Zone, Hub &amp; Touchpoints</x:v>
      </x:c>
      <x:c r="D13" s="28" t="str">
        <x:v>VENUE</x:v>
      </x:c>
      <x:c r="E13" s="28" t="str">
        <x:v>VENUE-002</x:v>
      </x:c>
      <x:c r="F13" s="28" t="str">
        <x:v>CPL-05، CPL-06، CPL-20، CPL-25</x:v>
      </x:c>
      <x:c r="G13" s="28" t="str">
        <x:v>ادمین عملیات</x:v>
      </x:c>
      <x:c r="H13" s="28" t="str">
        <x:v>به‌عنوان ادمین عملیات می‌خواهم هر Venue باید بتواند Zone و Hubهای داخلی داشته باشد. تا اجرای پایلوت و سنجش آن مطابق FRD v1.1 کنترل شود.</x:v>
      </x:c>
      <x:c r="I13" s="28" t="str">
        <x:v>هاب‌هایی مثل رواق، فودکورت، گنبد مینا، زون بازی و سکوی دید قابل ثبت باشند.</x:v>
      </x:c>
      <x:c r="J13" s="28" t="str">
        <x:v>P0</x:v>
      </x:c>
      <x:c r="K13" s="28" t="str">
        <x:v>Must</x:v>
      </x:c>
      <x:c r="L13" s="28" t="str">
        <x:v>MVP+MVCP</x:v>
      </x:c>
      <x:c r="M13" s="28" t="str">
        <x:v>Sprint 1</x:v>
      </x:c>
      <x:c r="N13" s="28" t="n">
        <x:v>5</x:v>
      </x:c>
      <x:c r="O13" s="28" t="str">
        <x:v>REL-001</x:v>
      </x:c>
      <x:c r="P13" s="28" t="str">
        <x:v>Not Started</x:v>
      </x:c>
      <x:c r="Q13" s="28" t="str">
        <x:v>TC-012</x:v>
      </x:c>
      <x:c r="R13" s="28" t="str">
        <x:v>بررسی شود که VENUE-002 اجرا شده و معیار پذیرش آن برقرار است: هاب‌هایی مثل رواق، فودکورت، گنبد مینا، زون بازی و سکوی دید قابل ثبت باشند.</x:v>
      </x:c>
      <x:c r="S13" s="28" t="str">
        <x:v>Generated from FRD v1.1</x:v>
      </x:c>
    </x:row>
    <x:row r="14">
      <x:c r="A14" s="28" t="str">
        <x:v>US-013</x:v>
      </x:c>
      <x:c r="B14" s="28" t="str">
        <x:v>EPIC-02</x:v>
      </x:c>
      <x:c r="C14" s="28" t="str">
        <x:v>Venue, Zone, Hub &amp; Touchpoints</x:v>
      </x:c>
      <x:c r="D14" s="28" t="str">
        <x:v>VENUE</x:v>
      </x:c>
      <x:c r="E14" s="28" t="str">
        <x:v>VENUE-003</x:v>
      </x:c>
      <x:c r="F14" s="28" t="str">
        <x:v>CPL-05، CPL-06، CPL-20، CPL-25</x:v>
      </x:c>
      <x:c r="G14" s="28" t="str">
        <x:v>ادمین عملیات</x:v>
      </x:c>
      <x:c r="H14" s="28" t="str">
        <x:v>به‌عنوان ادمین عملیات می‌خواهم هر Touchpoint باید نوع، محل، مالک، QR مرتبط و وضعیت عملیاتی داشته باشد. تا اجرای پایلوت و سنجش آن مطابق FRD v1.1 کنترل شود.</x:v>
      </x:c>
      <x:c r="I14" s="28" t="str">
        <x:v>گزارش اسکن به Touchpoint و Hub قابل نسبت‌دهی باشد.</x:v>
      </x:c>
      <x:c r="J14" s="28" t="str">
        <x:v>P0</x:v>
      </x:c>
      <x:c r="K14" s="28" t="str">
        <x:v>Must</x:v>
      </x:c>
      <x:c r="L14" s="28" t="str">
        <x:v>MVP+MVCP</x:v>
      </x:c>
      <x:c r="M14" s="28" t="str">
        <x:v>Sprint 1</x:v>
      </x:c>
      <x:c r="N14" s="28" t="n">
        <x:v>5</x:v>
      </x:c>
      <x:c r="O14" s="28" t="str">
        <x:v>REL-001</x:v>
      </x:c>
      <x:c r="P14" s="28" t="str">
        <x:v>Not Started</x:v>
      </x:c>
      <x:c r="Q14" s="28" t="str">
        <x:v>TC-013</x:v>
      </x:c>
      <x:c r="R14" s="28" t="str">
        <x:v>بررسی شود که VENUE-003 اجرا شده و معیار پذیرش آن برقرار است: گزارش اسکن به Touchpoint و Hub قابل نسبت‌دهی باشد.</x:v>
      </x:c>
      <x:c r="S14" s="28" t="str">
        <x:v>Generated from FRD v1.1</x:v>
      </x:c>
    </x:row>
    <x:row r="15">
      <x:c r="A15" s="28" t="str">
        <x:v>US-014</x:v>
      </x:c>
      <x:c r="B15" s="28" t="str">
        <x:v>EPIC-02</x:v>
      </x:c>
      <x:c r="C15" s="28" t="str">
        <x:v>Venue, Zone, Hub &amp; Touchpoints</x:v>
      </x:c>
      <x:c r="D15" s="28" t="str">
        <x:v>VENUE</x:v>
      </x:c>
      <x:c r="E15" s="28" t="str">
        <x:v>VENUE-004</x:v>
      </x:c>
      <x:c r="F15" s="28" t="str">
        <x:v>CPL-05، CPL-06، CPL-20، CPL-25</x:v>
      </x:c>
      <x:c r="G15" s="28" t="str">
        <x:v>ادمین عملیات</x:v>
      </x:c>
      <x:c r="H15" s="28" t="str">
        <x:v>به‌عنوان ادمین عملیات می‌خواهم هر Media Point و Merchant Node باید به Venue/Zone/Hub متصل شود. تا اجرای پایلوت و سنجش آن مطابق FRD v1.1 کنترل شود.</x:v>
      </x:c>
      <x:c r="I15" s="28" t="str">
        <x:v>Attribution رسانه و فروشگاه بدون اتصال مکانی پذیرفته نشود.</x:v>
      </x:c>
      <x:c r="J15" s="28" t="str">
        <x:v>P0</x:v>
      </x:c>
      <x:c r="K15" s="28" t="str">
        <x:v>Must</x:v>
      </x:c>
      <x:c r="L15" s="28" t="str">
        <x:v>MVP+MVCP</x:v>
      </x:c>
      <x:c r="M15" s="28" t="str">
        <x:v>Sprint 1</x:v>
      </x:c>
      <x:c r="N15" s="28" t="n">
        <x:v>5</x:v>
      </x:c>
      <x:c r="O15" s="28" t="str">
        <x:v>REL-001</x:v>
      </x:c>
      <x:c r="P15" s="28" t="str">
        <x:v>Not Started</x:v>
      </x:c>
      <x:c r="Q15" s="28" t="str">
        <x:v>TC-014</x:v>
      </x:c>
      <x:c r="R15" s="28" t="str">
        <x:v>بررسی شود که VENUE-004 اجرا شده و معیار پذیرش آن برقرار است: Attribution رسانه و فروشگاه بدون اتصال مکانی پذیرفته نشود.</x:v>
      </x:c>
      <x:c r="S15" s="28" t="str">
        <x:v>Generated from FRD v1.1</x:v>
      </x:c>
    </x:row>
    <x:row r="16">
      <x:c r="A16" s="28" t="str">
        <x:v>US-015</x:v>
      </x:c>
      <x:c r="B16" s="28" t="str">
        <x:v>EPIC-02</x:v>
      </x:c>
      <x:c r="C16" s="28" t="str">
        <x:v>Venue, Zone, Hub &amp; Touchpoints</x:v>
      </x:c>
      <x:c r="D16" s="28" t="str">
        <x:v>VENUE</x:v>
      </x:c>
      <x:c r="E16" s="28" t="str">
        <x:v>VENUE-005</x:v>
      </x:c>
      <x:c r="F16" s="28" t="str">
        <x:v>CPL-05، CPL-06، CPL-20، CPL-25</x:v>
      </x:c>
      <x:c r="G16" s="28" t="str">
        <x:v>ادمین عملیات</x:v>
      </x:c>
      <x:c r="H16" s="28" t="str">
        <x:v>به‌عنوان ادمین عملیات می‌خواهم سیستم باید Template برای Venue Launch Kit تولید یا نگهداری کند. تا اجرای پایلوت و سنجش آن مطابق FRD v1.1 کنترل شود.</x:v>
      </x:c>
      <x:c r="I16" s="28" t="str">
        <x:v>برای Venue جدید چک‌لیست راه‌اندازی آماده باشد.</x:v>
      </x:c>
      <x:c r="J16" s="28" t="str">
        <x:v>P2</x:v>
      </x:c>
      <x:c r="K16" s="28" t="str">
        <x:v>Should</x:v>
      </x:c>
      <x:c r="L16" s="28" t="str">
        <x:v>MVP+MVCP</x:v>
      </x:c>
      <x:c r="M16" s="28" t="str">
        <x:v>Sprint 1</x:v>
      </x:c>
      <x:c r="N16" s="28" t="n">
        <x:v>3</x:v>
      </x:c>
      <x:c r="O16" s="28" t="str">
        <x:v>REL-001</x:v>
      </x:c>
      <x:c r="P16" s="28" t="str">
        <x:v>Not Started</x:v>
      </x:c>
      <x:c r="Q16" s="28" t="str">
        <x:v>TC-015</x:v>
      </x:c>
      <x:c r="R16" s="28" t="str">
        <x:v>بررسی شود که VENUE-005 اجرا شده و معیار پذیرش آن برقرار است: برای Venue جدید چک‌لیست راه‌اندازی آماده باشد.</x:v>
      </x:c>
      <x:c r="S16" s="28" t="str">
        <x:v>Generated from FRD v1.1</x:v>
      </x:c>
    </x:row>
    <x:row r="17">
      <x:c r="A17" s="28" t="str">
        <x:v>US-016</x:v>
      </x:c>
      <x:c r="B17" s="28" t="str">
        <x:v>EPIC-02</x:v>
      </x:c>
      <x:c r="C17" s="28" t="str">
        <x:v>Venue, Zone, Hub &amp; Touchpoints</x:v>
      </x:c>
      <x:c r="D17" s="28" t="str">
        <x:v>VENUE</x:v>
      </x:c>
      <x:c r="E17" s="28" t="str">
        <x:v>VENUE-006</x:v>
      </x:c>
      <x:c r="F17" s="28" t="str">
        <x:v>CPL-05، CPL-06، CPL-20، CPL-25</x:v>
      </x:c>
      <x:c r="G17" s="28" t="str">
        <x:v>ادمین عملیات</x:v>
      </x:c>
      <x:c r="H17" s="28" t="str">
        <x:v>به‌عنوان ادمین عملیات می‌خواهم هر Venue Profile باید محدودیت‌ها، مجوزها، مخاطبان، ساعت اوج و ظرفیت را نگهداری کند. تا اجرای پایلوت و سنجش آن مطابق FRD v1.1 کنترل شود.</x:v>
      </x:c>
      <x:c r="I17" s="28" t="str">
        <x:v>پیش از فعال‌سازی پایلوت، Venue Profile تکمیل‌شده باشد.</x:v>
      </x:c>
      <x:c r="J17" s="28" t="str">
        <x:v>P2</x:v>
      </x:c>
      <x:c r="K17" s="28" t="str">
        <x:v>Should</x:v>
      </x:c>
      <x:c r="L17" s="28" t="str">
        <x:v>MVP+MVCP</x:v>
      </x:c>
      <x:c r="M17" s="28" t="str">
        <x:v>Sprint 1</x:v>
      </x:c>
      <x:c r="N17" s="28" t="n">
        <x:v>3</x:v>
      </x:c>
      <x:c r="O17" s="28" t="str">
        <x:v>REL-001</x:v>
      </x:c>
      <x:c r="P17" s="28" t="str">
        <x:v>Not Started</x:v>
      </x:c>
      <x:c r="Q17" s="28" t="str">
        <x:v>TC-016</x:v>
      </x:c>
      <x:c r="R17" s="28" t="str">
        <x:v>بررسی شود که VENUE-006 اجرا شده و معیار پذیرش آن برقرار است: پیش از فعال‌سازی پایلوت، Venue Profile تکمیل‌شده باشد.</x:v>
      </x:c>
      <x:c r="S17" s="28" t="str">
        <x:v>Generated from FRD v1.1</x:v>
      </x:c>
    </x:row>
    <x:row r="18">
      <x:c r="A18" s="28" t="str">
        <x:v>US-017</x:v>
      </x:c>
      <x:c r="B18" s="28" t="str">
        <x:v>EPIC-03</x:v>
      </x:c>
      <x:c r="C18" s="28" t="str">
        <x:v>Pilot Operations &amp; Daily Runbook</x:v>
      </x:c>
      <x:c r="D18" s="28" t="str">
        <x:v>PILOT</x:v>
      </x:c>
      <x:c r="E18" s="28" t="str">
        <x:v>PILOT-001</x:v>
      </x:c>
      <x:c r="F18" s="28" t="str">
        <x:v>CPL-03، CPL-07، CPL-08، CPL-21، CPL-24، CPL-25</x:v>
      </x:c>
      <x:c r="G18" s="28" t="str">
        <x:v>Pilot Manager</x:v>
      </x:c>
      <x:c r="H18" s="28" t="str">
        <x:v>به‌عنوان Pilot Manager می‌خواهم ادمین باید بتواند Pilot با Venue، Zone، تاریخ شروع/پایان، KPI و وضعیت تعریف کند. تا اجرای پایلوت و سنجش آن مطابق FRD v1.1 کنترل شود.</x:v>
      </x:c>
      <x:c r="I18" s="28" t="str">
        <x:v>پایلوت ارم ۱۴ روزه و پایلوت‌های دیگر قابل ثبت باشند.</x:v>
      </x:c>
      <x:c r="J18" s="28" t="str">
        <x:v>P0</x:v>
      </x:c>
      <x:c r="K18" s="28" t="str">
        <x:v>Must</x:v>
      </x:c>
      <x:c r="L18" s="28" t="str">
        <x:v>MVCP</x:v>
      </x:c>
      <x:c r="M18" s="28" t="str">
        <x:v>Sprint 3</x:v>
      </x:c>
      <x:c r="N18" s="28" t="n">
        <x:v>5</x:v>
      </x:c>
      <x:c r="O18" s="28" t="str">
        <x:v>VENUE-001, QR-001, CAM-001</x:v>
      </x:c>
      <x:c r="P18" s="28" t="str">
        <x:v>Not Started</x:v>
      </x:c>
      <x:c r="Q18" s="28" t="str">
        <x:v>TC-017</x:v>
      </x:c>
      <x:c r="R18" s="28" t="str">
        <x:v>بررسی شود که PILOT-001 اجرا شده و معیار پذیرش آن برقرار است: پایلوت ارم ۱۴ روزه و پایلوت‌های دیگر قابل ثبت باشند.</x:v>
      </x:c>
      <x:c r="S18" s="28" t="str">
        <x:v>Generated from FRD v1.1</x:v>
      </x:c>
    </x:row>
    <x:row r="19">
      <x:c r="A19" s="28" t="str">
        <x:v>US-018</x:v>
      </x:c>
      <x:c r="B19" s="28" t="str">
        <x:v>EPIC-03</x:v>
      </x:c>
      <x:c r="C19" s="28" t="str">
        <x:v>Pilot Operations &amp; Daily Runbook</x:v>
      </x:c>
      <x:c r="D19" s="28" t="str">
        <x:v>PILOT</x:v>
      </x:c>
      <x:c r="E19" s="28" t="str">
        <x:v>PILOT-002</x:v>
      </x:c>
      <x:c r="F19" s="28" t="str">
        <x:v>CPL-03، CPL-07، CPL-08، CPL-21، CPL-24، CPL-25</x:v>
      </x:c>
      <x:c r="G19" s="28" t="str">
        <x:v>Pilot Manager</x:v>
      </x:c>
      <x:c r="H19" s="28" t="str">
        <x:v>به‌عنوان Pilot Manager می‌خواهم سیستم باید خط مبنا یا Baseline Metrics را برای مقایسه قبل/حین/بعد نگهداری کند. تا اجرای پایلوت و سنجش آن مطابق FRD v1.1 کنترل شود.</x:v>
      </x:c>
      <x:c r="I19" s="28" t="str">
        <x:v>گزارش نهایی بتواند افزایش تعامل را نسبت به Baseline نشان دهد.</x:v>
      </x:c>
      <x:c r="J19" s="28" t="str">
        <x:v>P0</x:v>
      </x:c>
      <x:c r="K19" s="28" t="str">
        <x:v>Must</x:v>
      </x:c>
      <x:c r="L19" s="28" t="str">
        <x:v>MVCP</x:v>
      </x:c>
      <x:c r="M19" s="28" t="str">
        <x:v>Sprint 3</x:v>
      </x:c>
      <x:c r="N19" s="28" t="n">
        <x:v>5</x:v>
      </x:c>
      <x:c r="O19" s="28" t="str">
        <x:v>VENUE-001, QR-001, CAM-001</x:v>
      </x:c>
      <x:c r="P19" s="28" t="str">
        <x:v>Not Started</x:v>
      </x:c>
      <x:c r="Q19" s="28" t="str">
        <x:v>TC-018</x:v>
      </x:c>
      <x:c r="R19" s="28" t="str">
        <x:v>بررسی شود که PILOT-002 اجرا شده و معیار پذیرش آن برقرار است: گزارش نهایی بتواند افزایش تعامل را نسبت به Baseline نشان دهد.</x:v>
      </x:c>
      <x:c r="S19" s="28" t="str">
        <x:v>Generated from FRD v1.1</x:v>
      </x:c>
    </x:row>
    <x:row r="20">
      <x:c r="A20" s="28" t="str">
        <x:v>US-019</x:v>
      </x:c>
      <x:c r="B20" s="28" t="str">
        <x:v>EPIC-03</x:v>
      </x:c>
      <x:c r="C20" s="28" t="str">
        <x:v>Pilot Operations &amp; Daily Runbook</x:v>
      </x:c>
      <x:c r="D20" s="28" t="str">
        <x:v>PILOT</x:v>
      </x:c>
      <x:c r="E20" s="28" t="str">
        <x:v>PILOT-003</x:v>
      </x:c>
      <x:c r="F20" s="28" t="str">
        <x:v>CPL-03، CPL-07، CPL-08، CPL-21، CPL-24، CPL-25</x:v>
      </x:c>
      <x:c r="G20" s="28" t="str">
        <x:v>Pilot Manager</x:v>
      </x:c>
      <x:c r="H20" s="28" t="str">
        <x:v>به‌عنوان Pilot Manager می‌خواهم هر روز پایلوت باید Daily Report شامل KPI، رخداد، خرابی، شکایت و یادداشت عملیات داشته باشد. تا اجرای پایلوت و سنجش آن مطابق FRD v1.1 کنترل شود.</x:v>
      </x:c>
      <x:c r="I20" s="28" t="str">
        <x:v>گزارش پایان روز بدون داده‌های اصلی تکمیل‌شده محسوب نشود.</x:v>
      </x:c>
      <x:c r="J20" s="28" t="str">
        <x:v>P0</x:v>
      </x:c>
      <x:c r="K20" s="28" t="str">
        <x:v>Must</x:v>
      </x:c>
      <x:c r="L20" s="28" t="str">
        <x:v>MVCP</x:v>
      </x:c>
      <x:c r="M20" s="28" t="str">
        <x:v>Sprint 3</x:v>
      </x:c>
      <x:c r="N20" s="28" t="n">
        <x:v>5</x:v>
      </x:c>
      <x:c r="O20" s="28" t="str">
        <x:v>VENUE-001, QR-001, CAM-001</x:v>
      </x:c>
      <x:c r="P20" s="28" t="str">
        <x:v>Not Started</x:v>
      </x:c>
      <x:c r="Q20" s="28" t="str">
        <x:v>TC-019</x:v>
      </x:c>
      <x:c r="R20" s="28" t="str">
        <x:v>بررسی شود که PILOT-003 اجرا شده و معیار پذیرش آن برقرار است: گزارش پایان روز بدون داده‌های اصلی تکمیل‌شده محسوب نشود.</x:v>
      </x:c>
      <x:c r="S20" s="28" t="str">
        <x:v>Generated from FRD v1.1</x:v>
      </x:c>
    </x:row>
    <x:row r="21">
      <x:c r="A21" s="28" t="str">
        <x:v>US-020</x:v>
      </x:c>
      <x:c r="B21" s="28" t="str">
        <x:v>EPIC-03</x:v>
      </x:c>
      <x:c r="C21" s="28" t="str">
        <x:v>Pilot Operations &amp; Daily Runbook</x:v>
      </x:c>
      <x:c r="D21" s="28" t="str">
        <x:v>PILOT</x:v>
      </x:c>
      <x:c r="E21" s="28" t="str">
        <x:v>PILOT-004</x:v>
      </x:c>
      <x:c r="F21" s="28" t="str">
        <x:v>CPL-03، CPL-07، CPL-08، CPL-21، CPL-24، CPL-25</x:v>
      </x:c>
      <x:c r="G21" s="28" t="str">
        <x:v>Pilot Manager</x:v>
      </x:c>
      <x:c r="H21" s="28" t="str">
        <x:v>به‌عنوان Pilot Manager می‌خواهم شیفت‌ها، سفیران، Touchpointهای فعال و تجهیزات هر روز باید قابل تخصیص باشند. تا اجرای پایلوت و سنجش آن مطابق FRD v1.1 کنترل شود.</x:v>
      </x:c>
      <x:c r="I21" s="28" t="str">
        <x:v>هر سفیر و دارایی به Shift مشخص وصل شود.</x:v>
      </x:c>
      <x:c r="J21" s="28" t="str">
        <x:v>P0</x:v>
      </x:c>
      <x:c r="K21" s="28" t="str">
        <x:v>Must</x:v>
      </x:c>
      <x:c r="L21" s="28" t="str">
        <x:v>MVCP</x:v>
      </x:c>
      <x:c r="M21" s="28" t="str">
        <x:v>Sprint 3</x:v>
      </x:c>
      <x:c r="N21" s="28" t="n">
        <x:v>5</x:v>
      </x:c>
      <x:c r="O21" s="28" t="str">
        <x:v>VENUE-001, QR-001, CAM-001</x:v>
      </x:c>
      <x:c r="P21" s="28" t="str">
        <x:v>Not Started</x:v>
      </x:c>
      <x:c r="Q21" s="28" t="str">
        <x:v>TC-020</x:v>
      </x:c>
      <x:c r="R21" s="28" t="str">
        <x:v>بررسی شود که PILOT-004 اجرا شده و معیار پذیرش آن برقرار است: هر سفیر و دارایی به Shift مشخص وصل شود.</x:v>
      </x:c>
      <x:c r="S21" s="28" t="str">
        <x:v>Generated from FRD v1.1</x:v>
      </x:c>
    </x:row>
    <x:row r="22">
      <x:c r="A22" s="28" t="str">
        <x:v>US-021</x:v>
      </x:c>
      <x:c r="B22" s="28" t="str">
        <x:v>EPIC-03</x:v>
      </x:c>
      <x:c r="C22" s="28" t="str">
        <x:v>Pilot Operations &amp; Daily Runbook</x:v>
      </x:c>
      <x:c r="D22" s="28" t="str">
        <x:v>PILOT</x:v>
      </x:c>
      <x:c r="E22" s="28" t="str">
        <x:v>PILOT-005</x:v>
      </x:c>
      <x:c r="F22" s="28" t="str">
        <x:v>CPL-03، CPL-07، CPL-08، CPL-21، CPL-24، CPL-25</x:v>
      </x:c>
      <x:c r="G22" s="28" t="str">
        <x:v>Pilot Manager</x:v>
      </x:c>
      <x:c r="H22" s="28" t="str">
        <x:v>به‌عنوان Pilot Manager می‌خواهم سیستم باید وضعیت Pilot را از Planned تا Active، Paused، Completed، Extended یا Closed مدیریت کند. تا اجرای پایلوت و سنجش آن مطابق FRD v1.1 کنترل شود.</x:v>
      </x:c>
      <x:c r="I22" s="28" t="str">
        <x:v>QR و کمپین‌ها با وضعیت پایلوت هماهنگ شوند.</x:v>
      </x:c>
      <x:c r="J22" s="28" t="str">
        <x:v>P0</x:v>
      </x:c>
      <x:c r="K22" s="28" t="str">
        <x:v>Must</x:v>
      </x:c>
      <x:c r="L22" s="28" t="str">
        <x:v>MVCP</x:v>
      </x:c>
      <x:c r="M22" s="28" t="str">
        <x:v>Sprint 3</x:v>
      </x:c>
      <x:c r="N22" s="28" t="n">
        <x:v>5</x:v>
      </x:c>
      <x:c r="O22" s="28" t="str">
        <x:v>VENUE-001, QR-001, CAM-001</x:v>
      </x:c>
      <x:c r="P22" s="28" t="str">
        <x:v>Not Started</x:v>
      </x:c>
      <x:c r="Q22" s="28" t="str">
        <x:v>TC-021</x:v>
      </x:c>
      <x:c r="R22" s="28" t="str">
        <x:v>بررسی شود که PILOT-005 اجرا شده و معیار پذیرش آن برقرار است: QR و کمپین‌ها با وضعیت پایلوت هماهنگ شوند.</x:v>
      </x:c>
      <x:c r="S22" s="28" t="str">
        <x:v>Generated from FRD v1.1</x:v>
      </x:c>
    </x:row>
    <x:row r="23">
      <x:c r="A23" s="28" t="str">
        <x:v>US-022</x:v>
      </x:c>
      <x:c r="B23" s="28" t="str">
        <x:v>EPIC-03</x:v>
      </x:c>
      <x:c r="C23" s="28" t="str">
        <x:v>Pilot Operations &amp; Daily Runbook</x:v>
      </x:c>
      <x:c r="D23" s="28" t="str">
        <x:v>PILOT</x:v>
      </x:c>
      <x:c r="E23" s="28" t="str">
        <x:v>PILOT-006</x:v>
      </x:c>
      <x:c r="F23" s="28" t="str">
        <x:v>CPL-03، CPL-07، CPL-08، CPL-21، CPL-24، CPL-25</x:v>
      </x:c>
      <x:c r="G23" s="28" t="str">
        <x:v>Pilot Manager</x:v>
      </x:c>
      <x:c r="H23" s="28" t="str">
        <x:v>به‌عنوان Pilot Manager می‌خواهم در پایان پایلوت، Closure Report و Board Decision Gate تولید شود. تا اجرای پایلوت و سنجش آن مطابق FRD v1.1 کنترل شود.</x:v>
      </x:c>
      <x:c r="I23" s="28" t="str">
        <x:v>خروجی توسعه/تکرار/توقف با KPI مرتبط باشد.</x:v>
      </x:c>
      <x:c r="J23" s="28" t="str">
        <x:v>P2</x:v>
      </x:c>
      <x:c r="K23" s="28" t="str">
        <x:v>Should</x:v>
      </x:c>
      <x:c r="L23" s="28" t="str">
        <x:v>MVCP</x:v>
      </x:c>
      <x:c r="M23" s="28" t="str">
        <x:v>Sprint 3</x:v>
      </x:c>
      <x:c r="N23" s="28" t="n">
        <x:v>5</x:v>
      </x:c>
      <x:c r="O23" s="28" t="str">
        <x:v>VENUE-001, QR-001, CAM-001</x:v>
      </x:c>
      <x:c r="P23" s="28" t="str">
        <x:v>Not Started</x:v>
      </x:c>
      <x:c r="Q23" s="28" t="str">
        <x:v>TC-022</x:v>
      </x:c>
      <x:c r="R23" s="28" t="str">
        <x:v>بررسی شود که PILOT-006 اجرا شده و معیار پذیرش آن برقرار است: خروجی توسعه/تکرار/توقف با KPI مرتبط باشد.</x:v>
      </x:c>
      <x:c r="S23" s="28" t="str">
        <x:v>Generated from FRD v1.1</x:v>
      </x:c>
    </x:row>
    <x:row r="24">
      <x:c r="A24" s="28" t="str">
        <x:v>US-023</x:v>
      </x:c>
      <x:c r="B24" s="28" t="str">
        <x:v>EPIC-04</x:v>
      </x:c>
      <x:c r="C24" s="28" t="str">
        <x:v>Field Ambassadors &amp; Scripts</x:v>
      </x:c>
      <x:c r="D24" s="28" t="str">
        <x:v>AMB</x:v>
      </x:c>
      <x:c r="E24" s="28" t="str">
        <x:v>AMB-001</x:v>
      </x:c>
      <x:c r="F24" s="28" t="str">
        <x:v>CPL-08، CPL-22، CPL-23</x:v>
      </x:c>
      <x:c r="G24" s="28" t="str">
        <x:v>سفیر میدانی / سرپرست شیفت</x:v>
      </x:c>
      <x:c r="H24" s="28" t="str">
        <x:v>به‌عنوان سفیر میدانی / سرپرست شیفت می‌خواهم سیستم باید سفیران، نقش، وضعیت، آموزش و شیفت آن‌ها را نگهداری کند. تا اجرای پایلوت و سنجش آن مطابق FRD v1.1 کنترل شود.</x:v>
      </x:c>
      <x:c r="I24" s="28" t="str">
        <x:v>هر سفیر فعال در روز پایلوت به Shift متصل باشد.</x:v>
      </x:c>
      <x:c r="J24" s="28" t="str">
        <x:v>P1</x:v>
      </x:c>
      <x:c r="K24" s="28" t="str">
        <x:v>Must</x:v>
      </x:c>
      <x:c r="L24" s="28" t="str">
        <x:v>MVCP</x:v>
      </x:c>
      <x:c r="M24" s="28" t="str">
        <x:v>Sprint 3</x:v>
      </x:c>
      <x:c r="N24" s="28" t="n">
        <x:v>3</x:v>
      </x:c>
      <x:c r="O24" s="28" t="str">
        <x:v>PILOT-001</x:v>
      </x:c>
      <x:c r="P24" s="28" t="str">
        <x:v>Not Started</x:v>
      </x:c>
      <x:c r="Q24" s="28" t="str">
        <x:v>TC-023</x:v>
      </x:c>
      <x:c r="R24" s="28" t="str">
        <x:v>بررسی شود که AMB-001 اجرا شده و معیار پذیرش آن برقرار است: هر سفیر فعال در روز پایلوت به Shift متصل باشد.</x:v>
      </x:c>
      <x:c r="S24" s="28" t="str">
        <x:v>Generated from FRD v1.1</x:v>
      </x:c>
    </x:row>
    <x:row r="25">
      <x:c r="A25" s="28" t="str">
        <x:v>US-024</x:v>
      </x:c>
      <x:c r="B25" s="28" t="str">
        <x:v>EPIC-04</x:v>
      </x:c>
      <x:c r="C25" s="28" t="str">
        <x:v>Field Ambassadors &amp; Scripts</x:v>
      </x:c>
      <x:c r="D25" s="28" t="str">
        <x:v>AMB</x:v>
      </x:c>
      <x:c r="E25" s="28" t="str">
        <x:v>AMB-002</x:v>
      </x:c>
      <x:c r="F25" s="28" t="str">
        <x:v>CPL-08، CPL-22، CPL-23</x:v>
      </x:c>
      <x:c r="G25" s="28" t="str">
        <x:v>سفیر میدانی / سرپرست شیفت</x:v>
      </x:c>
      <x:c r="H25" s="28" t="str">
        <x:v>به‌عنوان سفیر میدانی / سرپرست شیفت می‌خواهم برای هر کمپین/هَب، اسکریپت کوتاه تعامل سفیر باید قابل تعریف باشد. تا اجرای پایلوت و سنجش آن مطابق FRD v1.1 کنترل شود.</x:v>
      </x:c>
      <x:c r="I25" s="28" t="str">
        <x:v>سفیر بتواند پیام واحد برای دعوت به QR و توضیح پاداش داشته باشد.</x:v>
      </x:c>
      <x:c r="J25" s="28" t="str">
        <x:v>P1</x:v>
      </x:c>
      <x:c r="K25" s="28" t="str">
        <x:v>Must</x:v>
      </x:c>
      <x:c r="L25" s="28" t="str">
        <x:v>MVCP</x:v>
      </x:c>
      <x:c r="M25" s="28" t="str">
        <x:v>Sprint 3</x:v>
      </x:c>
      <x:c r="N25" s="28" t="n">
        <x:v>3</x:v>
      </x:c>
      <x:c r="O25" s="28" t="str">
        <x:v>PILOT-001</x:v>
      </x:c>
      <x:c r="P25" s="28" t="str">
        <x:v>Not Started</x:v>
      </x:c>
      <x:c r="Q25" s="28" t="str">
        <x:v>TC-024</x:v>
      </x:c>
      <x:c r="R25" s="28" t="str">
        <x:v>بررسی شود که AMB-002 اجرا شده و معیار پذیرش آن برقرار است: سفیر بتواند پیام واحد برای دعوت به QR و توضیح پاداش داشته باشد.</x:v>
      </x:c>
      <x:c r="S25" s="28" t="str">
        <x:v>Generated from FRD v1.1</x:v>
      </x:c>
    </x:row>
    <x:row r="26">
      <x:c r="A26" s="28" t="str">
        <x:v>US-025</x:v>
      </x:c>
      <x:c r="B26" s="28" t="str">
        <x:v>EPIC-04</x:v>
      </x:c>
      <x:c r="C26" s="28" t="str">
        <x:v>Field Ambassadors &amp; Scripts</x:v>
      </x:c>
      <x:c r="D26" s="28" t="str">
        <x:v>AMB</x:v>
      </x:c>
      <x:c r="E26" s="28" t="str">
        <x:v>AMB-003</x:v>
      </x:c>
      <x:c r="F26" s="28" t="str">
        <x:v>CPL-08، CPL-22، CPL-23</x:v>
      </x:c>
      <x:c r="G26" s="28" t="str">
        <x:v>سفیر میدانی / سرپرست شیفت</x:v>
      </x:c>
      <x:c r="H26" s="28" t="str">
        <x:v>به‌عنوان سفیر میدانی / سرپرست شیفت می‌خواهم سفیر بتواند تعامل‌های میدانی را به‌صورت شمارشی یا Log ساده ثبت کند. تا اجرای پایلوت و سنجش آن مطابق FRD v1.1 کنترل شود.</x:v>
      </x:c>
      <x:c r="I26" s="28" t="str">
        <x:v>تعداد تعامل، سؤال پرتکرار و مشکل در Daily Report دیده شود.</x:v>
      </x:c>
      <x:c r="J26" s="28" t="str">
        <x:v>P2</x:v>
      </x:c>
      <x:c r="K26" s="28" t="str">
        <x:v>Should</x:v>
      </x:c>
      <x:c r="L26" s="28" t="str">
        <x:v>MVCP</x:v>
      </x:c>
      <x:c r="M26" s="28" t="str">
        <x:v>Sprint 3</x:v>
      </x:c>
      <x:c r="N26" s="28" t="n">
        <x:v>3</x:v>
      </x:c>
      <x:c r="O26" s="28" t="str">
        <x:v>PILOT-001</x:v>
      </x:c>
      <x:c r="P26" s="28" t="str">
        <x:v>Not Started</x:v>
      </x:c>
      <x:c r="Q26" s="28" t="str">
        <x:v>TC-025</x:v>
      </x:c>
      <x:c r="R26" s="28" t="str">
        <x:v>بررسی شود که AMB-003 اجرا شده و معیار پذیرش آن برقرار است: تعداد تعامل، سؤال پرتکرار و مشکل در Daily Report دیده شود.</x:v>
      </x:c>
      <x:c r="S26" s="28" t="str">
        <x:v>Generated from FRD v1.1</x:v>
      </x:c>
    </x:row>
    <x:row r="27">
      <x:c r="A27" s="28" t="str">
        <x:v>US-026</x:v>
      </x:c>
      <x:c r="B27" s="28" t="str">
        <x:v>EPIC-04</x:v>
      </x:c>
      <x:c r="C27" s="28" t="str">
        <x:v>Field Ambassadors &amp; Scripts</x:v>
      </x:c>
      <x:c r="D27" s="28" t="str">
        <x:v>AMB</x:v>
      </x:c>
      <x:c r="E27" s="28" t="str">
        <x:v>AMB-004</x:v>
      </x:c>
      <x:c r="F27" s="28" t="str">
        <x:v>CPL-08، CPL-22، CPL-23</x:v>
      </x:c>
      <x:c r="G27" s="28" t="str">
        <x:v>سفیر میدانی / سرپرست شیفت</x:v>
      </x:c>
      <x:c r="H27" s="28" t="str">
        <x:v>به‌عنوان سفیر میدانی / سرپرست شیفت می‌خواهم FAQ و پاسخ به اعتراض‌های رایج در پنل یا فایل عملیاتی قابل مشاهده باشد. تا اجرای پایلوت و سنجش آن مطابق FRD v1.1 کنترل شود.</x:v>
      </x:c>
      <x:c r="I27" s="28" t="str">
        <x:v>سفیر برای مشکلات QR/جایزه/حریم خصوصی پاسخ پایه داشته باشد.</x:v>
      </x:c>
      <x:c r="J27" s="28" t="str">
        <x:v>P2</x:v>
      </x:c>
      <x:c r="K27" s="28" t="str">
        <x:v>Should</x:v>
      </x:c>
      <x:c r="L27" s="28" t="str">
        <x:v>MVCP</x:v>
      </x:c>
      <x:c r="M27" s="28" t="str">
        <x:v>Sprint 3</x:v>
      </x:c>
      <x:c r="N27" s="28" t="n">
        <x:v>3</x:v>
      </x:c>
      <x:c r="O27" s="28" t="str">
        <x:v>PILOT-001</x:v>
      </x:c>
      <x:c r="P27" s="28" t="str">
        <x:v>Not Started</x:v>
      </x:c>
      <x:c r="Q27" s="28" t="str">
        <x:v>TC-026</x:v>
      </x:c>
      <x:c r="R27" s="28" t="str">
        <x:v>بررسی شود که AMB-004 اجرا شده و معیار پذیرش آن برقرار است: سفیر برای مشکلات QR/جایزه/حریم خصوصی پاسخ پایه داشته باشد.</x:v>
      </x:c>
      <x:c r="S27" s="28" t="str">
        <x:v>Generated from FRD v1.1</x:v>
      </x:c>
    </x:row>
    <x:row r="28">
      <x:c r="A28" s="28" t="str">
        <x:v>US-027</x:v>
      </x:c>
      <x:c r="B28" s="28" t="str">
        <x:v>EPIC-04</x:v>
      </x:c>
      <x:c r="C28" s="28" t="str">
        <x:v>Field Ambassadors &amp; Scripts</x:v>
      </x:c>
      <x:c r="D28" s="28" t="str">
        <x:v>AMB</x:v>
      </x:c>
      <x:c r="E28" s="28" t="str">
        <x:v>AMB-005</x:v>
      </x:c>
      <x:c r="F28" s="28" t="str">
        <x:v>CPL-08، CPL-22، CPL-23</x:v>
      </x:c>
      <x:c r="G28" s="28" t="str">
        <x:v>سفیر میدانی / سرپرست شیفت</x:v>
      </x:c>
      <x:c r="H28" s="28" t="str">
        <x:v>به‌عنوان سفیر میدانی / سرپرست شیفت می‌خواهم امتیاز عملکرد سفیر بر اساس اسکن، تعامل و کیفیت گزارش محاسبه شود. تا اجرای پایلوت و سنجش آن مطابق FRD v1.1 کنترل شود.</x:v>
      </x:c>
      <x:c r="I28" s="28" t="str">
        <x:v>KPI سفیر برای بهبود عملیات در دسترس باشد.</x:v>
      </x:c>
      <x:c r="J28" s="28" t="str">
        <x:v>P3</x:v>
      </x:c>
      <x:c r="K28" s="28" t="str">
        <x:v>Could</x:v>
      </x:c>
      <x:c r="L28" s="28" t="str">
        <x:v>MVCP</x:v>
      </x:c>
      <x:c r="M28" s="28" t="str">
        <x:v>Sprint 3</x:v>
      </x:c>
      <x:c r="N28" s="28" t="n">
        <x:v>5</x:v>
      </x:c>
      <x:c r="O28" s="28" t="str">
        <x:v>PILOT-001</x:v>
      </x:c>
      <x:c r="P28" s="28" t="str">
        <x:v>Not Started</x:v>
      </x:c>
      <x:c r="Q28" s="28" t="str">
        <x:v>TC-027</x:v>
      </x:c>
      <x:c r="R28" s="28" t="str">
        <x:v>بررسی شود که AMB-005 اجرا شده و معیار پذیرش آن برقرار است: KPI سفیر برای بهبود عملیات در دسترس باشد.</x:v>
      </x:c>
      <x:c r="S28" s="28" t="str">
        <x:v>Generated from FRD v1.1</x:v>
      </x:c>
    </x:row>
    <x:row r="29">
      <x:c r="A29" s="28" t="str">
        <x:v>US-028</x:v>
      </x:c>
      <x:c r="B29" s="28" t="str">
        <x:v>EPIC-05</x:v>
      </x:c>
      <x:c r="C29" s="28" t="str">
        <x:v>Field Asset &amp; Hardware Control</x:v>
      </x:c>
      <x:c r="D29" s="28" t="str">
        <x:v>ASSET</x:v>
      </x:c>
      <x:c r="E29" s="28" t="str">
        <x:v>ASSET-001</x:v>
      </x:c>
      <x:c r="F29" s="28" t="str">
        <x:v>CPL-09، CPL-10، CPL-21</x:v>
      </x:c>
      <x:c r="G29" s="28" t="str">
        <x:v>Asset Manager / سفیر</x:v>
      </x:c>
      <x:c r="H29" s="28" t="str">
        <x:v>به‌عنوان Asset Manager / سفیر می‌خواهم هر دارایی میدانی باید شناسه، نوع، مالک، وضعیت و محل نگهداری داشته باشد. تا اجرای پایلوت و سنجش آن مطابق FRD v1.1 کنترل شود.</x:v>
      </x:c>
      <x:c r="I29" s="28" t="str">
        <x:v>کوله‌پشتی، نمایشگر، QR چاپی و پاوربانک قابل ثبت باشند.</x:v>
      </x:c>
      <x:c r="J29" s="28" t="str">
        <x:v>P1</x:v>
      </x:c>
      <x:c r="K29" s="28" t="str">
        <x:v>Must</x:v>
      </x:c>
      <x:c r="L29" s="28" t="str">
        <x:v>MVCP</x:v>
      </x:c>
      <x:c r="M29" s="28" t="str">
        <x:v>Sprint 3</x:v>
      </x:c>
      <x:c r="N29" s="28" t="n">
        <x:v>5</x:v>
      </x:c>
      <x:c r="O29" s="28" t="str">
        <x:v>PILOT-001, VENUE-003</x:v>
      </x:c>
      <x:c r="P29" s="28" t="str">
        <x:v>Not Started</x:v>
      </x:c>
      <x:c r="Q29" s="28" t="str">
        <x:v>TC-028</x:v>
      </x:c>
      <x:c r="R29" s="28" t="str">
        <x:v>بررسی شود که ASSET-001 اجرا شده و معیار پذیرش آن برقرار است: کوله‌پشتی، نمایشگر، QR چاپی و پاوربانک قابل ثبت باشند.</x:v>
      </x:c>
      <x:c r="S29" s="28" t="str">
        <x:v>Generated from FRD v1.1</x:v>
      </x:c>
    </x:row>
    <x:row r="30">
      <x:c r="A30" s="28" t="str">
        <x:v>US-029</x:v>
      </x:c>
      <x:c r="B30" s="28" t="str">
        <x:v>EPIC-05</x:v>
      </x:c>
      <x:c r="C30" s="28" t="str">
        <x:v>Field Asset &amp; Hardware Control</x:v>
      </x:c>
      <x:c r="D30" s="28" t="str">
        <x:v>ASSET</x:v>
      </x:c>
      <x:c r="E30" s="28" t="str">
        <x:v>ASSET-002</x:v>
      </x:c>
      <x:c r="F30" s="28" t="str">
        <x:v>CPL-09، CPL-10، CPL-21</x:v>
      </x:c>
      <x:c r="G30" s="28" t="str">
        <x:v>Asset Manager / سفیر</x:v>
      </x:c>
      <x:c r="H30" s="28" t="str">
        <x:v>به‌عنوان Asset Manager / سفیر می‌خواهم تحویل و تحویل‌گیری دارایی به سفیر/شیفت باید ثبت شود. تا اجرای پایلوت و سنجش آن مطابق FRD v1.1 کنترل شود.</x:v>
      </x:c>
      <x:c r="I30" s="28" t="str">
        <x:v>در پایان شیفت، وضعیت بازگشت یا خرابی مشخص باشد.</x:v>
      </x:c>
      <x:c r="J30" s="28" t="str">
        <x:v>P1</x:v>
      </x:c>
      <x:c r="K30" s="28" t="str">
        <x:v>Must</x:v>
      </x:c>
      <x:c r="L30" s="28" t="str">
        <x:v>MVCP</x:v>
      </x:c>
      <x:c r="M30" s="28" t="str">
        <x:v>Sprint 3</x:v>
      </x:c>
      <x:c r="N30" s="28" t="n">
        <x:v>5</x:v>
      </x:c>
      <x:c r="O30" s="28" t="str">
        <x:v>PILOT-001, VENUE-003</x:v>
      </x:c>
      <x:c r="P30" s="28" t="str">
        <x:v>Not Started</x:v>
      </x:c>
      <x:c r="Q30" s="28" t="str">
        <x:v>TC-029</x:v>
      </x:c>
      <x:c r="R30" s="28" t="str">
        <x:v>بررسی شود که ASSET-002 اجرا شده و معیار پذیرش آن برقرار است: در پایان شیفت، وضعیت بازگشت یا خرابی مشخص باشد.</x:v>
      </x:c>
      <x:c r="S30" s="28" t="str">
        <x:v>Generated from FRD v1.1</x:v>
      </x:c>
    </x:row>
    <x:row r="31">
      <x:c r="A31" s="28" t="str">
        <x:v>US-030</x:v>
      </x:c>
      <x:c r="B31" s="28" t="str">
        <x:v>EPIC-05</x:v>
      </x:c>
      <x:c r="C31" s="28" t="str">
        <x:v>Field Asset &amp; Hardware Control</x:v>
      </x:c>
      <x:c r="D31" s="28" t="str">
        <x:v>ASSET</x:v>
      </x:c>
      <x:c r="E31" s="28" t="str">
        <x:v>ASSET-003</x:v>
      </x:c>
      <x:c r="F31" s="28" t="str">
        <x:v>CPL-09، CPL-10، CPL-21</x:v>
      </x:c>
      <x:c r="G31" s="28" t="str">
        <x:v>Asset Manager / سفیر</x:v>
      </x:c>
      <x:c r="H31" s="28" t="str">
        <x:v>به‌عنوان Asset Manager / سفیر می‌خواهم خرابی، گم‌شدن، آسیب یا قطع اینترنت تجهیزات باید Incident یا MaintenanceLog ایجاد کند. تا اجرای پایلوت و سنجش آن مطابق FRD v1.1 کنترل شود.</x:v>
      </x:c>
      <x:c r="I31" s="28" t="str">
        <x:v>خرابی روی گزارش روزانه و KPI عملیاتی اثر بگذارد.</x:v>
      </x:c>
      <x:c r="J31" s="28" t="str">
        <x:v>P1</x:v>
      </x:c>
      <x:c r="K31" s="28" t="str">
        <x:v>Must</x:v>
      </x:c>
      <x:c r="L31" s="28" t="str">
        <x:v>MVCP</x:v>
      </x:c>
      <x:c r="M31" s="28" t="str">
        <x:v>Sprint 3</x:v>
      </x:c>
      <x:c r="N31" s="28" t="n">
        <x:v>5</x:v>
      </x:c>
      <x:c r="O31" s="28" t="str">
        <x:v>PILOT-001, VENUE-003</x:v>
      </x:c>
      <x:c r="P31" s="28" t="str">
        <x:v>Not Started</x:v>
      </x:c>
      <x:c r="Q31" s="28" t="str">
        <x:v>TC-030</x:v>
      </x:c>
      <x:c r="R31" s="28" t="str">
        <x:v>بررسی شود که ASSET-003 اجرا شده و معیار پذیرش آن برقرار است: خرابی روی گزارش روزانه و KPI عملیاتی اثر بگذارد.</x:v>
      </x:c>
      <x:c r="S31" s="28" t="str">
        <x:v>Generated from FRD v1.1</x:v>
      </x:c>
    </x:row>
    <x:row r="32">
      <x:c r="A32" s="28" t="str">
        <x:v>US-031</x:v>
      </x:c>
      <x:c r="B32" s="28" t="str">
        <x:v>EPIC-05</x:v>
      </x:c>
      <x:c r="C32" s="28" t="str">
        <x:v>Field Asset &amp; Hardware Control</x:v>
      </x:c>
      <x:c r="D32" s="28" t="str">
        <x:v>ASSET</x:v>
      </x:c>
      <x:c r="E32" s="28" t="str">
        <x:v>ASSET-004</x:v>
      </x:c>
      <x:c r="F32" s="28" t="str">
        <x:v>CPL-09، CPL-10، CPL-21</x:v>
      </x:c>
      <x:c r="G32" s="28" t="str">
        <x:v>Asset Manager / سفیر</x:v>
      </x:c>
      <x:c r="H32" s="28" t="str">
        <x:v>به‌عنوان Asset Manager / سفیر می‌خواهم برای هر دارایی رسانه‌ای، QR یا Content Schedule مرتبط نگهداری شود. تا اجرای پایلوت و سنجش آن مطابق FRD v1.1 کنترل شود.</x:v>
      </x:c>
      <x:c r="I32" s="28" t="str">
        <x:v>اثر هر دستگاه بر اسکن و تعامل قابل سنجش باشد.</x:v>
      </x:c>
      <x:c r="J32" s="28" t="str">
        <x:v>P2</x:v>
      </x:c>
      <x:c r="K32" s="28" t="str">
        <x:v>Should</x:v>
      </x:c>
      <x:c r="L32" s="28" t="str">
        <x:v>MVCP</x:v>
      </x:c>
      <x:c r="M32" s="28" t="str">
        <x:v>Sprint 3</x:v>
      </x:c>
      <x:c r="N32" s="28" t="n">
        <x:v>3</x:v>
      </x:c>
      <x:c r="O32" s="28" t="str">
        <x:v>PILOT-001, VENUE-003</x:v>
      </x:c>
      <x:c r="P32" s="28" t="str">
        <x:v>Not Started</x:v>
      </x:c>
      <x:c r="Q32" s="28" t="str">
        <x:v>TC-031</x:v>
      </x:c>
      <x:c r="R32" s="28" t="str">
        <x:v>بررسی شود که ASSET-004 اجرا شده و معیار پذیرش آن برقرار است: اثر هر دستگاه بر اسکن و تعامل قابل سنجش باشد.</x:v>
      </x:c>
      <x:c r="S32" s="28" t="str">
        <x:v>Generated from FRD v1.1</x:v>
      </x:c>
    </x:row>
    <x:row r="33">
      <x:c r="A33" s="28" t="str">
        <x:v>US-032</x:v>
      </x:c>
      <x:c r="B33" s="28" t="str">
        <x:v>EPIC-05</x:v>
      </x:c>
      <x:c r="C33" s="28" t="str">
        <x:v>Field Asset &amp; Hardware Control</x:v>
      </x:c>
      <x:c r="D33" s="28" t="str">
        <x:v>ASSET</x:v>
      </x:c>
      <x:c r="E33" s="28" t="str">
        <x:v>ASSET-005</x:v>
      </x:c>
      <x:c r="F33" s="28" t="str">
        <x:v>CPL-09، CPL-10، CPL-21</x:v>
      </x:c>
      <x:c r="G33" s="28" t="str">
        <x:v>Asset Manager / سفیر</x:v>
      </x:c>
      <x:c r="H33" s="28" t="str">
        <x:v>به‌عنوان Asset Manager / سفیر می‌خواهم چک‌لیست شروع روز برای شارژ، اینترنت، محتوا و سلامت QR/نمایشگر وجود داشته باشد. تا اجرای پایلوت و سنجش آن مطابق FRD v1.1 کنترل شود.</x:v>
      </x:c>
      <x:c r="I33" s="28" t="str">
        <x:v>پیش از شروع پایلوت همه دارایی‌های حیاتی Pass شوند.</x:v>
      </x:c>
      <x:c r="J33" s="28" t="str">
        <x:v>P2</x:v>
      </x:c>
      <x:c r="K33" s="28" t="str">
        <x:v>Should</x:v>
      </x:c>
      <x:c r="L33" s="28" t="str">
        <x:v>MVCP</x:v>
      </x:c>
      <x:c r="M33" s="28" t="str">
        <x:v>Sprint 3</x:v>
      </x:c>
      <x:c r="N33" s="28" t="n">
        <x:v>3</x:v>
      </x:c>
      <x:c r="O33" s="28" t="str">
        <x:v>PILOT-001, VENUE-003</x:v>
      </x:c>
      <x:c r="P33" s="28" t="str">
        <x:v>Not Started</x:v>
      </x:c>
      <x:c r="Q33" s="28" t="str">
        <x:v>TC-032</x:v>
      </x:c>
      <x:c r="R33" s="28" t="str">
        <x:v>بررسی شود که ASSET-005 اجرا شده و معیار پذیرش آن برقرار است: پیش از شروع پایلوت همه دارایی‌های حیاتی Pass شوند.</x:v>
      </x:c>
      <x:c r="S33" s="28" t="str">
        <x:v>Generated from FRD v1.1</x:v>
      </x:c>
    </x:row>
    <x:row r="34">
      <x:c r="A34" s="28" t="str">
        <x:v>US-033</x:v>
      </x:c>
      <x:c r="B34" s="28" t="str">
        <x:v>EPIC-06</x:v>
      </x:c>
      <x:c r="C34" s="28" t="str">
        <x:v>Interactive Media Network</x:v>
      </x:c>
      <x:c r="D34" s="28" t="str">
        <x:v>MEDIA</x:v>
      </x:c>
      <x:c r="E34" s="28" t="str">
        <x:v>MEDIA-001</x:v>
      </x:c>
      <x:c r="F34" s="28" t="str">
        <x:v>CPL-10، CPL-12، CPL-13، CPL-20</x:v>
      </x:c>
      <x:c r="G34" s="28" t="str">
        <x:v>Media Manager / Content Manager</x:v>
      </x:c>
      <x:c r="H34" s="28" t="str">
        <x:v>به‌عنوان Media Manager / Content Manager می‌خواهم سیستم باید Media Point تعریف کند و آن را به Venue/Zone/Hub/Asset متصل کند. تا اجرای پایلوت و سنجش آن مطابق FRD v1.1 کنترل شود.</x:v>
      </x:c>
      <x:c r="I34" s="28" t="str">
        <x:v>کوله‌پشتی و نمایشگر ثابت قابل ردیابی باشند.</x:v>
      </x:c>
      <x:c r="J34" s="28" t="str">
        <x:v>P1</x:v>
      </x:c>
      <x:c r="K34" s="28" t="str">
        <x:v>Must</x:v>
      </x:c>
      <x:c r="L34" s="28" t="str">
        <x:v>MVCP</x:v>
      </x:c>
      <x:c r="M34" s="28" t="str">
        <x:v>Sprint 3</x:v>
      </x:c>
      <x:c r="N34" s="28" t="n">
        <x:v>5</x:v>
      </x:c>
      <x:c r="O34" s="28" t="str">
        <x:v>ASSET-001, QR-001, CAM-001</x:v>
      </x:c>
      <x:c r="P34" s="28" t="str">
        <x:v>Not Started</x:v>
      </x:c>
      <x:c r="Q34" s="28" t="str">
        <x:v>TC-033</x:v>
      </x:c>
      <x:c r="R34" s="28" t="str">
        <x:v>بررسی شود که MEDIA-001 اجرا شده و معیار پذیرش آن برقرار است: کوله‌پشتی و نمایشگر ثابت قابل ردیابی باشند.</x:v>
      </x:c>
      <x:c r="S34" s="28" t="str">
        <x:v>Generated from FRD v1.1</x:v>
      </x:c>
    </x:row>
    <x:row r="35">
      <x:c r="A35" s="28" t="str">
        <x:v>US-034</x:v>
      </x:c>
      <x:c r="B35" s="28" t="str">
        <x:v>EPIC-06</x:v>
      </x:c>
      <x:c r="C35" s="28" t="str">
        <x:v>Interactive Media Network</x:v>
      </x:c>
      <x:c r="D35" s="28" t="str">
        <x:v>MEDIA</x:v>
      </x:c>
      <x:c r="E35" s="28" t="str">
        <x:v>MEDIA-002</x:v>
      </x:c>
      <x:c r="F35" s="28" t="str">
        <x:v>CPL-10، CPL-12، CPL-13، CPL-20</x:v>
      </x:c>
      <x:c r="G35" s="28" t="str">
        <x:v>Media Manager / Content Manager</x:v>
      </x:c>
      <x:c r="H35" s="28" t="str">
        <x:v>به‌عنوان Media Manager / Content Manager می‌خواهم هر محتوای رسانه‌ای باید Campaign، QR یا Call-to-Action مرتبط داشته باشد. تا اجرای پایلوت و سنجش آن مطابق FRD v1.1 کنترل شود.</x:v>
      </x:c>
      <x:c r="I35" s="28" t="str">
        <x:v>نمایش رسانه بدون مقصد سنجش‌پذیر مجاز نباشد.</x:v>
      </x:c>
      <x:c r="J35" s="28" t="str">
        <x:v>P1</x:v>
      </x:c>
      <x:c r="K35" s="28" t="str">
        <x:v>Must</x:v>
      </x:c>
      <x:c r="L35" s="28" t="str">
        <x:v>MVCP</x:v>
      </x:c>
      <x:c r="M35" s="28" t="str">
        <x:v>Sprint 3</x:v>
      </x:c>
      <x:c r="N35" s="28" t="n">
        <x:v>5</x:v>
      </x:c>
      <x:c r="O35" s="28" t="str">
        <x:v>ASSET-001, QR-001, CAM-001</x:v>
      </x:c>
      <x:c r="P35" s="28" t="str">
        <x:v>Not Started</x:v>
      </x:c>
      <x:c r="Q35" s="28" t="str">
        <x:v>TC-034</x:v>
      </x:c>
      <x:c r="R35" s="28" t="str">
        <x:v>بررسی شود که MEDIA-002 اجرا شده و معیار پذیرش آن برقرار است: نمایش رسانه بدون مقصد سنجش‌پذیر مجاز نباشد.</x:v>
      </x:c>
      <x:c r="S35" s="28" t="str">
        <x:v>Generated from FRD v1.1</x:v>
      </x:c>
    </x:row>
    <x:row r="36">
      <x:c r="A36" s="28" t="str">
        <x:v>US-035</x:v>
      </x:c>
      <x:c r="B36" s="28" t="str">
        <x:v>EPIC-06</x:v>
      </x:c>
      <x:c r="C36" s="28" t="str">
        <x:v>Interactive Media Network</x:v>
      </x:c>
      <x:c r="D36" s="28" t="str">
        <x:v>MEDIA</x:v>
      </x:c>
      <x:c r="E36" s="28" t="str">
        <x:v>MEDIA-003</x:v>
      </x:c>
      <x:c r="F36" s="28" t="str">
        <x:v>CPL-10، CPL-12، CPL-13، CPL-20</x:v>
      </x:c>
      <x:c r="G36" s="28" t="str">
        <x:v>Media Manager / Content Manager</x:v>
      </x:c>
      <x:c r="H36" s="28" t="str">
        <x:v>به‌عنوان Media Manager / Content Manager می‌خواهم محتوا باید وضعیت Draft، Pending Approval، Approved، Live، Archived داشته باشد. تا اجرای پایلوت و سنجش آن مطابق FRD v1.1 کنترل شود.</x:v>
      </x:c>
      <x:c r="I36" s="28" t="str">
        <x:v>محتوای تأییدنشده منتشر نشود.</x:v>
      </x:c>
      <x:c r="J36" s="28" t="str">
        <x:v>P1</x:v>
      </x:c>
      <x:c r="K36" s="28" t="str">
        <x:v>Must</x:v>
      </x:c>
      <x:c r="L36" s="28" t="str">
        <x:v>MVCP</x:v>
      </x:c>
      <x:c r="M36" s="28" t="str">
        <x:v>Sprint 3</x:v>
      </x:c>
      <x:c r="N36" s="28" t="n">
        <x:v>8</x:v>
      </x:c>
      <x:c r="O36" s="28" t="str">
        <x:v>ASSET-001, QR-001, CAM-001</x:v>
      </x:c>
      <x:c r="P36" s="28" t="str">
        <x:v>Not Started</x:v>
      </x:c>
      <x:c r="Q36" s="28" t="str">
        <x:v>TC-035</x:v>
      </x:c>
      <x:c r="R36" s="28" t="str">
        <x:v>بررسی شود که MEDIA-003 اجرا شده و معیار پذیرش آن برقرار است: محتوای تأییدنشده منتشر نشود.</x:v>
      </x:c>
      <x:c r="S36" s="28" t="str">
        <x:v>Generated from FRD v1.1</x:v>
      </x:c>
    </x:row>
    <x:row r="37">
      <x:c r="A37" s="28" t="str">
        <x:v>US-036</x:v>
      </x:c>
      <x:c r="B37" s="28" t="str">
        <x:v>EPIC-06</x:v>
      </x:c>
      <x:c r="C37" s="28" t="str">
        <x:v>Interactive Media Network</x:v>
      </x:c>
      <x:c r="D37" s="28" t="str">
        <x:v>MEDIA</x:v>
      </x:c>
      <x:c r="E37" s="28" t="str">
        <x:v>MEDIA-004</x:v>
      </x:c>
      <x:c r="F37" s="28" t="str">
        <x:v>CPL-10، CPL-12، CPL-13، CPL-20</x:v>
      </x:c>
      <x:c r="G37" s="28" t="str">
        <x:v>Media Manager / Content Manager</x:v>
      </x:c>
      <x:c r="H37" s="28" t="str">
        <x:v>به‌عنوان Media Manager / Content Manager می‌خواهم برنامه پخش محتوا بر اساس تاریخ، ساعت، Venue و Media Point قابل ثبت باشد. تا اجرای پایلوت و سنجش آن مطابق FRD v1.1 کنترل شود.</x:v>
      </x:c>
      <x:c r="I37" s="28" t="str">
        <x:v>گزارش اسکن به زمان پخش قابل مقایسه باشد.</x:v>
      </x:c>
      <x:c r="J37" s="28" t="str">
        <x:v>P2</x:v>
      </x:c>
      <x:c r="K37" s="28" t="str">
        <x:v>Should</x:v>
      </x:c>
      <x:c r="L37" s="28" t="str">
        <x:v>MVCP</x:v>
      </x:c>
      <x:c r="M37" s="28" t="str">
        <x:v>Sprint 3</x:v>
      </x:c>
      <x:c r="N37" s="28" t="n">
        <x:v>3</x:v>
      </x:c>
      <x:c r="O37" s="28" t="str">
        <x:v>ASSET-001, QR-001, CAM-001</x:v>
      </x:c>
      <x:c r="P37" s="28" t="str">
        <x:v>Not Started</x:v>
      </x:c>
      <x:c r="Q37" s="28" t="str">
        <x:v>TC-036</x:v>
      </x:c>
      <x:c r="R37" s="28" t="str">
        <x:v>بررسی شود که MEDIA-004 اجرا شده و معیار پذیرش آن برقرار است: گزارش اسکن به زمان پخش قابل مقایسه باشد.</x:v>
      </x:c>
      <x:c r="S37" s="28" t="str">
        <x:v>Generated from FRD v1.1</x:v>
      </x:c>
    </x:row>
    <x:row r="38">
      <x:c r="A38" s="28" t="str">
        <x:v>US-037</x:v>
      </x:c>
      <x:c r="B38" s="28" t="str">
        <x:v>EPIC-06</x:v>
      </x:c>
      <x:c r="C38" s="28" t="str">
        <x:v>Interactive Media Network</x:v>
      </x:c>
      <x:c r="D38" s="28" t="str">
        <x:v>MEDIA</x:v>
      </x:c>
      <x:c r="E38" s="28" t="str">
        <x:v>MEDIA-005</x:v>
      </x:c>
      <x:c r="F38" s="28" t="str">
        <x:v>CPL-10، CPL-12، CPL-13، CPL-20</x:v>
      </x:c>
      <x:c r="G38" s="28" t="str">
        <x:v>Media Manager / Content Manager</x:v>
      </x:c>
      <x:c r="H38" s="28" t="str">
        <x:v>به‌عنوان Media Manager / Content Manager می‌خواهم سیستم باید تعداد اسکن یا تعامل ناشی از هر Media Point را گزارش کند. تا اجرای پایلوت و سنجش آن مطابق FRD v1.1 کنترل شود.</x:v>
      </x:c>
      <x:c r="I38" s="28" t="str">
        <x:v>ROI رسانه برای هیئت‌مدیره و اسپانسر قابل نمایش باشد.</x:v>
      </x:c>
      <x:c r="J38" s="28" t="str">
        <x:v>P2</x:v>
      </x:c>
      <x:c r="K38" s="28" t="str">
        <x:v>Should</x:v>
      </x:c>
      <x:c r="L38" s="28" t="str">
        <x:v>MVCP</x:v>
      </x:c>
      <x:c r="M38" s="28" t="str">
        <x:v>Sprint 3</x:v>
      </x:c>
      <x:c r="N38" s="28" t="n">
        <x:v>5</x:v>
      </x:c>
      <x:c r="O38" s="28" t="str">
        <x:v>ASSET-001, QR-001, CAM-001</x:v>
      </x:c>
      <x:c r="P38" s="28" t="str">
        <x:v>Not Started</x:v>
      </x:c>
      <x:c r="Q38" s="28" t="str">
        <x:v>TC-037</x:v>
      </x:c>
      <x:c r="R38" s="28" t="str">
        <x:v>بررسی شود که MEDIA-005 اجرا شده و معیار پذیرش آن برقرار است: ROI رسانه برای هیئت‌مدیره و اسپانسر قابل نمایش باشد.</x:v>
      </x:c>
      <x:c r="S38" s="28" t="str">
        <x:v>Generated from FRD v1.1</x:v>
      </x:c>
    </x:row>
    <x:row r="39">
      <x:c r="A39" s="28" t="str">
        <x:v>US-038</x:v>
      </x:c>
      <x:c r="B39" s="28" t="str">
        <x:v>EPIC-07</x:v>
      </x:c>
      <x:c r="C39" s="28" t="str">
        <x:v>Campaign Scenario &amp; Content OS</x:v>
      </x:c>
      <x:c r="D39" s="28" t="str">
        <x:v>CAMPAIGN</x:v>
      </x:c>
      <x:c r="E39" s="28" t="str">
        <x:v>CAM-001</x:v>
      </x:c>
      <x:c r="F39" s="28" t="str">
        <x:v>CPL-11، CPL-12، CPL-13، CPL-20</x:v>
      </x:c>
      <x:c r="G39" s="28" t="str">
        <x:v>Campaign Manager</x:v>
      </x:c>
      <x:c r="H39" s="28" t="str">
        <x:v>به‌عنوان Campaign Manager می‌خواهم ادمین باید بتواند Campaign با Venue، هدف، تاریخ، سناریو و KPI تعریف کند. تا اجرای پایلوت و سنجش آن مطابق FRD v1.1 کنترل شود.</x:v>
      </x:c>
      <x:c r="I39" s="28" t="str">
        <x:v>کمپین کشف گنج، پایلوت ارم و سناریوی برج میلاد قابل ثبت باشند.</x:v>
      </x:c>
      <x:c r="J39" s="28" t="str">
        <x:v>P1</x:v>
      </x:c>
      <x:c r="K39" s="28" t="str">
        <x:v>Must</x:v>
      </x:c>
      <x:c r="L39" s="28" t="str">
        <x:v>MVP+MVCP</x:v>
      </x:c>
      <x:c r="M39" s="28" t="str">
        <x:v>Sprint 2</x:v>
      </x:c>
      <x:c r="N39" s="28" t="n">
        <x:v>5</x:v>
      </x:c>
      <x:c r="O39" s="28" t="str">
        <x:v>VENUE-001, ADMIN-004</x:v>
      </x:c>
      <x:c r="P39" s="28" t="str">
        <x:v>Not Started</x:v>
      </x:c>
      <x:c r="Q39" s="28" t="str">
        <x:v>TC-038</x:v>
      </x:c>
      <x:c r="R39" s="28" t="str">
        <x:v>بررسی شود که CAM-001 اجرا شده و معیار پذیرش آن برقرار است: کمپین کشف گنج، پایلوت ارم و سناریوی برج میلاد قابل ثبت باشند.</x:v>
      </x:c>
      <x:c r="S39" s="28" t="str">
        <x:v>Generated from FRD v1.1</x:v>
      </x:c>
    </x:row>
    <x:row r="40">
      <x:c r="A40" s="28" t="str">
        <x:v>US-039</x:v>
      </x:c>
      <x:c r="B40" s="28" t="str">
        <x:v>EPIC-07</x:v>
      </x:c>
      <x:c r="C40" s="28" t="str">
        <x:v>Campaign Scenario &amp; Content OS</x:v>
      </x:c>
      <x:c r="D40" s="28" t="str">
        <x:v>CAMPAIGN</x:v>
      </x:c>
      <x:c r="E40" s="28" t="str">
        <x:v>CAM-002</x:v>
      </x:c>
      <x:c r="F40" s="28" t="str">
        <x:v>CPL-11، CPL-12، CPL-13، CPL-20</x:v>
      </x:c>
      <x:c r="G40" s="28" t="str">
        <x:v>Campaign Manager</x:v>
      </x:c>
      <x:c r="H40" s="28" t="str">
        <x:v>به‌عنوان Campaign Manager می‌خواهم سیستم باید کتابخانه سناریو شامل Treasure Hunt، Food Tour، Family Mission، Skill Challenge، Timed Mission و Sponsored Mission داشته باشد. تا اجرای پایلوت و سنجش آن مطابق FRD v1.1 کنترل شود.</x:v>
      </x:c>
      <x:c r="I40" s="28" t="str">
        <x:v>هر Scenario Template دارای Mission Type و Reward Logic پایه باشد.</x:v>
      </x:c>
      <x:c r="J40" s="28" t="str">
        <x:v>P1</x:v>
      </x:c>
      <x:c r="K40" s="28" t="str">
        <x:v>Must</x:v>
      </x:c>
      <x:c r="L40" s="28" t="str">
        <x:v>MVP+MVCP</x:v>
      </x:c>
      <x:c r="M40" s="28" t="str">
        <x:v>Sprint 2</x:v>
      </x:c>
      <x:c r="N40" s="28" t="n">
        <x:v>5</x:v>
      </x:c>
      <x:c r="O40" s="28" t="str">
        <x:v>VENUE-001, ADMIN-004</x:v>
      </x:c>
      <x:c r="P40" s="28" t="str">
        <x:v>Not Started</x:v>
      </x:c>
      <x:c r="Q40" s="28" t="str">
        <x:v>TC-039</x:v>
      </x:c>
      <x:c r="R40" s="28" t="str">
        <x:v>بررسی شود که CAM-002 اجرا شده و معیار پذیرش آن برقرار است: هر Scenario Template دارای Mission Type و Reward Logic پایه باشد.</x:v>
      </x:c>
      <x:c r="S40" s="28" t="str">
        <x:v>Generated from FRD v1.1</x:v>
      </x:c>
    </x:row>
    <x:row r="41">
      <x:c r="A41" s="28" t="str">
        <x:v>US-040</x:v>
      </x:c>
      <x:c r="B41" s="28" t="str">
        <x:v>EPIC-07</x:v>
      </x:c>
      <x:c r="C41" s="28" t="str">
        <x:v>Campaign Scenario &amp; Content OS</x:v>
      </x:c>
      <x:c r="D41" s="28" t="str">
        <x:v>CAMPAIGN</x:v>
      </x:c>
      <x:c r="E41" s="28" t="str">
        <x:v>CAM-003</x:v>
      </x:c>
      <x:c r="F41" s="28" t="str">
        <x:v>CPL-11، CPL-12، CPL-13، CPL-20</x:v>
      </x:c>
      <x:c r="G41" s="28" t="str">
        <x:v>Campaign Manager</x:v>
      </x:c>
      <x:c r="H41" s="28" t="str">
        <x:v>به‌عنوان Campaign Manager می‌خواهم تقویم کمپین باید محتوا، مأموریت، رسانه و پاداش را در هر روز/ساعت پایلوت هماهنگ کند. تا اجرای پایلوت و سنجش آن مطابق FRD v1.1 کنترل شود.</x:v>
      </x:c>
      <x:c r="I41" s="28" t="str">
        <x:v>Daily Runbook بتواند از Campaign Calendar استفاده کند.</x:v>
      </x:c>
      <x:c r="J41" s="28" t="str">
        <x:v>P1</x:v>
      </x:c>
      <x:c r="K41" s="28" t="str">
        <x:v>Must</x:v>
      </x:c>
      <x:c r="L41" s="28" t="str">
        <x:v>MVP+MVCP</x:v>
      </x:c>
      <x:c r="M41" s="28" t="str">
        <x:v>Sprint 2</x:v>
      </x:c>
      <x:c r="N41" s="28" t="n">
        <x:v>5</x:v>
      </x:c>
      <x:c r="O41" s="28" t="str">
        <x:v>VENUE-001, ADMIN-004</x:v>
      </x:c>
      <x:c r="P41" s="28" t="str">
        <x:v>Not Started</x:v>
      </x:c>
      <x:c r="Q41" s="28" t="str">
        <x:v>TC-040</x:v>
      </x:c>
      <x:c r="R41" s="28" t="str">
        <x:v>بررسی شود که CAM-003 اجرا شده و معیار پذیرش آن برقرار است: Daily Runbook بتواند از Campaign Calendar استفاده کند.</x:v>
      </x:c>
      <x:c r="S41" s="28" t="str">
        <x:v>Generated from FRD v1.1</x:v>
      </x:c>
    </x:row>
    <x:row r="42">
      <x:c r="A42" s="28" t="str">
        <x:v>US-041</x:v>
      </x:c>
      <x:c r="B42" s="28" t="str">
        <x:v>EPIC-07</x:v>
      </x:c>
      <x:c r="C42" s="28" t="str">
        <x:v>Campaign Scenario &amp; Content OS</x:v>
      </x:c>
      <x:c r="D42" s="28" t="str">
        <x:v>CAMPAIGN</x:v>
      </x:c>
      <x:c r="E42" s="28" t="str">
        <x:v>CAM-004</x:v>
      </x:c>
      <x:c r="F42" s="28" t="str">
        <x:v>CPL-11، CPL-12، CPL-13، CPL-20</x:v>
      </x:c>
      <x:c r="G42" s="28" t="str">
        <x:v>Campaign Manager</x:v>
      </x:c>
      <x:c r="H42" s="28" t="str">
        <x:v>به‌عنوان Campaign Manager می‌خواهم برای هر Venue، سناریوهای پیشنهادی قابل Template و Clone باشند. تا اجرای پایلوت و سنجش آن مطابق FRD v1.1 کنترل شود.</x:v>
      </x:c>
      <x:c r="I42" s="28" t="str">
        <x:v>راه‌اندازی Venue جدید از صفر شروع نشود.</x:v>
      </x:c>
      <x:c r="J42" s="28" t="str">
        <x:v>P2</x:v>
      </x:c>
      <x:c r="K42" s="28" t="str">
        <x:v>Should</x:v>
      </x:c>
      <x:c r="L42" s="28" t="str">
        <x:v>MVP+MVCP</x:v>
      </x:c>
      <x:c r="M42" s="28" t="str">
        <x:v>Sprint 2</x:v>
      </x:c>
      <x:c r="N42" s="28" t="n">
        <x:v>3</x:v>
      </x:c>
      <x:c r="O42" s="28" t="str">
        <x:v>VENUE-001, ADMIN-004</x:v>
      </x:c>
      <x:c r="P42" s="28" t="str">
        <x:v>Not Started</x:v>
      </x:c>
      <x:c r="Q42" s="28" t="str">
        <x:v>TC-041</x:v>
      </x:c>
      <x:c r="R42" s="28" t="str">
        <x:v>بررسی شود که CAM-004 اجرا شده و معیار پذیرش آن برقرار است: راه‌اندازی Venue جدید از صفر شروع نشود.</x:v>
      </x:c>
      <x:c r="S42" s="28" t="str">
        <x:v>Generated from FRD v1.1</x:v>
      </x:c>
    </x:row>
    <x:row r="43">
      <x:c r="A43" s="28" t="str">
        <x:v>US-042</x:v>
      </x:c>
      <x:c r="B43" s="28" t="str">
        <x:v>EPIC-07</x:v>
      </x:c>
      <x:c r="C43" s="28" t="str">
        <x:v>Campaign Scenario &amp; Content OS</x:v>
      </x:c>
      <x:c r="D43" s="28" t="str">
        <x:v>CAMPAIGN</x:v>
      </x:c>
      <x:c r="E43" s="28" t="str">
        <x:v>CAM-005</x:v>
      </x:c>
      <x:c r="F43" s="28" t="str">
        <x:v>CPL-11، CPL-12، CPL-13، CPL-20</x:v>
      </x:c>
      <x:c r="G43" s="28" t="str">
        <x:v>Campaign Manager</x:v>
      </x:c>
      <x:c r="H43" s="28" t="str">
        <x:v>به‌عنوان Campaign Manager می‌خواهم Brand Safety و Approval Workflow برای محتوای کمپین اجباری باشد. تا اجرای پایلوت و سنجش آن مطابق FRD v1.1 کنترل شود.</x:v>
      </x:c>
      <x:c r="I43" s="28" t="str">
        <x:v>هیچ محتوای Live بدون Approval منتشر نشود.</x:v>
      </x:c>
      <x:c r="J43" s="28" t="str">
        <x:v>P2</x:v>
      </x:c>
      <x:c r="K43" s="28" t="str">
        <x:v>Should</x:v>
      </x:c>
      <x:c r="L43" s="28" t="str">
        <x:v>MVP+MVCP</x:v>
      </x:c>
      <x:c r="M43" s="28" t="str">
        <x:v>Sprint 2</x:v>
      </x:c>
      <x:c r="N43" s="28" t="n">
        <x:v>5</x:v>
      </x:c>
      <x:c r="O43" s="28" t="str">
        <x:v>VENUE-001, ADMIN-004</x:v>
      </x:c>
      <x:c r="P43" s="28" t="str">
        <x:v>Not Started</x:v>
      </x:c>
      <x:c r="Q43" s="28" t="str">
        <x:v>TC-042</x:v>
      </x:c>
      <x:c r="R43" s="28" t="str">
        <x:v>بررسی شود که CAM-005 اجرا شده و معیار پذیرش آن برقرار است: هیچ محتوای Live بدون Approval منتشر نشود.</x:v>
      </x:c>
      <x:c r="S43" s="28" t="str">
        <x:v>Generated from FRD v1.1</x:v>
      </x:c>
    </x:row>
    <x:row r="44">
      <x:c r="A44" s="28" t="str">
        <x:v>US-043</x:v>
      </x:c>
      <x:c r="B44" s="28" t="str">
        <x:v>EPIC-08</x:v>
      </x:c>
      <x:c r="C44" s="28" t="str">
        <x:v>QR &amp; Scan Validation Engine</x:v>
      </x:c>
      <x:c r="D44" s="28" t="str">
        <x:v>QR</x:v>
      </x:c>
      <x:c r="E44" s="28" t="str">
        <x:v>QR-001</x:v>
      </x:c>
      <x:c r="F44" s="28" t="str">
        <x:v>CPL-05، CPL-16، CPL-19، CPL-20، CPL-21</x:v>
      </x:c>
      <x:c r="G44" s="28" t="str">
        <x:v>بازدیدکننده / سیستم QR</x:v>
      </x:c>
      <x:c r="H44" s="28" t="str">
        <x:v>به‌عنوان بازدیدکننده / سیستم QR می‌خواهم هر QR باید شناسه یکتا، مقصد، Venue، Touchpoint، Campaign و وضعیت داشته باشد. تا اجرای پایلوت و سنجش آن مطابق FRD v1.1 کنترل شود.</x:v>
      </x:c>
      <x:c r="I44" s="28" t="str">
        <x:v>QR بدون اتصال مکانی/کمپینی فعال نشود.</x:v>
      </x:c>
      <x:c r="J44" s="28" t="str">
        <x:v>P0</x:v>
      </x:c>
      <x:c r="K44" s="28" t="str">
        <x:v>Must</x:v>
      </x:c>
      <x:c r="L44" s="28" t="str">
        <x:v>MVP</x:v>
      </x:c>
      <x:c r="M44" s="28" t="str">
        <x:v>Sprint 1</x:v>
      </x:c>
      <x:c r="N44" s="28" t="n">
        <x:v>8</x:v>
      </x:c>
      <x:c r="O44" s="28" t="str">
        <x:v>VENUE-001..003, EVENT-001</x:v>
      </x:c>
      <x:c r="P44" s="28" t="str">
        <x:v>Not Started</x:v>
      </x:c>
      <x:c r="Q44" s="28" t="str">
        <x:v>TC-043</x:v>
      </x:c>
      <x:c r="R44" s="28" t="str">
        <x:v>بررسی شود که QR-001 اجرا شده و معیار پذیرش آن برقرار است: QR بدون اتصال مکانی/کمپینی فعال نشود.</x:v>
      </x:c>
      <x:c r="S44" s="28" t="str">
        <x:v>Generated from FRD v1.1</x:v>
      </x:c>
    </x:row>
    <x:row r="45">
      <x:c r="A45" s="28" t="str">
        <x:v>US-044</x:v>
      </x:c>
      <x:c r="B45" s="28" t="str">
        <x:v>EPIC-08</x:v>
      </x:c>
      <x:c r="C45" s="28" t="str">
        <x:v>QR &amp; Scan Validation Engine</x:v>
      </x:c>
      <x:c r="D45" s="28" t="str">
        <x:v>QR</x:v>
      </x:c>
      <x:c r="E45" s="28" t="str">
        <x:v>QR-002</x:v>
      </x:c>
      <x:c r="F45" s="28" t="str">
        <x:v>CPL-05، CPL-16، CPL-19، CPL-20، CPL-21</x:v>
      </x:c>
      <x:c r="G45" s="28" t="str">
        <x:v>بازدیدکننده / سیستم QR</x:v>
      </x:c>
      <x:c r="H45" s="28" t="str">
        <x:v>به‌عنوان بازدیدکننده / سیستم QR می‌خواهم هر اسکن باید با زمان، کاربر/جلسه، QR، نتیجه و Source ثبت شود. تا اجرای پایلوت و سنجش آن مطابق FRD v1.1 کنترل شود.</x:v>
      </x:c>
      <x:c r="I45" s="28" t="str">
        <x:v>Event qr_scanned برای Analytics تولید شود.</x:v>
      </x:c>
      <x:c r="J45" s="28" t="str">
        <x:v>P0</x:v>
      </x:c>
      <x:c r="K45" s="28" t="str">
        <x:v>Must</x:v>
      </x:c>
      <x:c r="L45" s="28" t="str">
        <x:v>MVP</x:v>
      </x:c>
      <x:c r="M45" s="28" t="str">
        <x:v>Sprint 1</x:v>
      </x:c>
      <x:c r="N45" s="28" t="n">
        <x:v>8</x:v>
      </x:c>
      <x:c r="O45" s="28" t="str">
        <x:v>VENUE-001..003, EVENT-001</x:v>
      </x:c>
      <x:c r="P45" s="28" t="str">
        <x:v>Not Started</x:v>
      </x:c>
      <x:c r="Q45" s="28" t="str">
        <x:v>TC-044</x:v>
      </x:c>
      <x:c r="R45" s="28" t="str">
        <x:v>بررسی شود که QR-002 اجرا شده و معیار پذیرش آن برقرار است: Event qr_scanned برای Analytics تولید شود.</x:v>
      </x:c>
      <x:c r="S45" s="28" t="str">
        <x:v>Generated from FRD v1.1</x:v>
      </x:c>
    </x:row>
    <x:row r="46">
      <x:c r="A46" s="28" t="str">
        <x:v>US-045</x:v>
      </x:c>
      <x:c r="B46" s="28" t="str">
        <x:v>EPIC-08</x:v>
      </x:c>
      <x:c r="C46" s="28" t="str">
        <x:v>QR &amp; Scan Validation Engine</x:v>
      </x:c>
      <x:c r="D46" s="28" t="str">
        <x:v>QR</x:v>
      </x:c>
      <x:c r="E46" s="28" t="str">
        <x:v>QR-003</x:v>
      </x:c>
      <x:c r="F46" s="28" t="str">
        <x:v>CPL-05، CPL-16، CPL-19، CPL-20، CPL-21</x:v>
      </x:c>
      <x:c r="G46" s="28" t="str">
        <x:v>بازدیدکننده / سیستم QR</x:v>
      </x:c>
      <x:c r="H46" s="28" t="str">
        <x:v>به‌عنوان بازدیدکننده / سیستم QR می‌خواهم سیستم باید QR منقضی، غیرفعال، خارج از زمان یا خارج از Rule را رد کند. تا اجرای پایلوت و سنجش آن مطابق FRD v1.1 کنترل شود.</x:v>
      </x:c>
      <x:c r="I46" s="28" t="str">
        <x:v>اسکن نامعتبر امتیاز یا پاداش ایجاد نکند.</x:v>
      </x:c>
      <x:c r="J46" s="28" t="str">
        <x:v>P0</x:v>
      </x:c>
      <x:c r="K46" s="28" t="str">
        <x:v>Must</x:v>
      </x:c>
      <x:c r="L46" s="28" t="str">
        <x:v>MVP</x:v>
      </x:c>
      <x:c r="M46" s="28" t="str">
        <x:v>Sprint 1</x:v>
      </x:c>
      <x:c r="N46" s="28" t="n">
        <x:v>8</x:v>
      </x:c>
      <x:c r="O46" s="28" t="str">
        <x:v>VENUE-001..003, EVENT-001</x:v>
      </x:c>
      <x:c r="P46" s="28" t="str">
        <x:v>Not Started</x:v>
      </x:c>
      <x:c r="Q46" s="28" t="str">
        <x:v>TC-045</x:v>
      </x:c>
      <x:c r="R46" s="28" t="str">
        <x:v>بررسی شود که QR-003 اجرا شده و معیار پذیرش آن برقرار است: اسکن نامعتبر امتیاز یا پاداش ایجاد نکند.</x:v>
      </x:c>
      <x:c r="S46" s="28" t="str">
        <x:v>Generated from FRD v1.1</x:v>
      </x:c>
    </x:row>
    <x:row r="47">
      <x:c r="A47" s="28" t="str">
        <x:v>US-046</x:v>
      </x:c>
      <x:c r="B47" s="28" t="str">
        <x:v>EPIC-08</x:v>
      </x:c>
      <x:c r="C47" s="28" t="str">
        <x:v>QR &amp; Scan Validation Engine</x:v>
      </x:c>
      <x:c r="D47" s="28" t="str">
        <x:v>QR</x:v>
      </x:c>
      <x:c r="E47" s="28" t="str">
        <x:v>QR-004</x:v>
      </x:c>
      <x:c r="F47" s="28" t="str">
        <x:v>CPL-05، CPL-16، CPL-19، CPL-20، CPL-21</x:v>
      </x:c>
      <x:c r="G47" s="28" t="str">
        <x:v>بازدیدکننده / سیستم QR</x:v>
      </x:c>
      <x:c r="H47" s="28" t="str">
        <x:v>به‌عنوان بازدیدکننده / سیستم QR می‌خواهم کنترل اسکن تکراری و محدودیت تعداد اسکن برای کاربر/QR/بازه زمانی وجود داشته باشد. تا اجرای پایلوت و سنجش آن مطابق FRD v1.1 کنترل شود.</x:v>
      </x:c>
      <x:c r="I47" s="28" t="str">
        <x:v>رفتار مشکوک Risk Flag شود.</x:v>
      </x:c>
      <x:c r="J47" s="28" t="str">
        <x:v>P0</x:v>
      </x:c>
      <x:c r="K47" s="28" t="str">
        <x:v>Must</x:v>
      </x:c>
      <x:c r="L47" s="28" t="str">
        <x:v>MVP</x:v>
      </x:c>
      <x:c r="M47" s="28" t="str">
        <x:v>Sprint 1</x:v>
      </x:c>
      <x:c r="N47" s="28" t="n">
        <x:v>8</x:v>
      </x:c>
      <x:c r="O47" s="28" t="str">
        <x:v>VENUE-001..003, EVENT-001</x:v>
      </x:c>
      <x:c r="P47" s="28" t="str">
        <x:v>Not Started</x:v>
      </x:c>
      <x:c r="Q47" s="28" t="str">
        <x:v>TC-046</x:v>
      </x:c>
      <x:c r="R47" s="28" t="str">
        <x:v>بررسی شود که QR-004 اجرا شده و معیار پذیرش آن برقرار است: رفتار مشکوک Risk Flag شود.</x:v>
      </x:c>
      <x:c r="S47" s="28" t="str">
        <x:v>Generated from FRD v1.1</x:v>
      </x:c>
    </x:row>
    <x:row r="48">
      <x:c r="A48" s="28" t="str">
        <x:v>US-047</x:v>
      </x:c>
      <x:c r="B48" s="28" t="str">
        <x:v>EPIC-08</x:v>
      </x:c>
      <x:c r="C48" s="28" t="str">
        <x:v>QR &amp; Scan Validation Engine</x:v>
      </x:c>
      <x:c r="D48" s="28" t="str">
        <x:v>QR</x:v>
      </x:c>
      <x:c r="E48" s="28" t="str">
        <x:v>QR-005</x:v>
      </x:c>
      <x:c r="F48" s="28" t="str">
        <x:v>CPL-05، CPL-16، CPL-19، CPL-20، CPL-21</x:v>
      </x:c>
      <x:c r="G48" s="28" t="str">
        <x:v>بازدیدکننده / سیستم QR</x:v>
      </x:c>
      <x:c r="H48" s="28" t="str">
        <x:v>به‌عنوان بازدیدکننده / سیستم QR می‌خواهم در حالت اینترنت ضعیف، Offline Scan یا Manual Fallback با sync بعدی پشتیبانی شود. تا اجرای پایلوت و سنجش آن مطابق FRD v1.1 کنترل شود.</x:v>
      </x:c>
      <x:c r="I48" s="28" t="str">
        <x:v>داده آفلاین بعداً با برچسب Offline وارد Event Stream شود.</x:v>
      </x:c>
      <x:c r="J48" s="28" t="str">
        <x:v>P1</x:v>
      </x:c>
      <x:c r="K48" s="28" t="str">
        <x:v>Should</x:v>
      </x:c>
      <x:c r="L48" s="28" t="str">
        <x:v>MVP</x:v>
      </x:c>
      <x:c r="M48" s="28" t="str">
        <x:v>Sprint 1</x:v>
      </x:c>
      <x:c r="N48" s="28" t="n">
        <x:v>8</x:v>
      </x:c>
      <x:c r="O48" s="28" t="str">
        <x:v>VENUE-001..003, EVENT-001</x:v>
      </x:c>
      <x:c r="P48" s="28" t="str">
        <x:v>Not Started</x:v>
      </x:c>
      <x:c r="Q48" s="28" t="str">
        <x:v>TC-047</x:v>
      </x:c>
      <x:c r="R48" s="28" t="str">
        <x:v>بررسی شود که QR-005 اجرا شده و معیار پذیرش آن برقرار است: داده آفلاین بعداً با برچسب Offline وارد Event Stream شود.</x:v>
      </x:c>
      <x:c r="S48" s="28" t="str">
        <x:v>Generated from FRD v1.1</x:v>
      </x:c>
    </x:row>
    <x:row r="49">
      <x:c r="A49" s="28" t="str">
        <x:v>US-048</x:v>
      </x:c>
      <x:c r="B49" s="28" t="str">
        <x:v>EPIC-08</x:v>
      </x:c>
      <x:c r="C49" s="28" t="str">
        <x:v>QR &amp; Scan Validation Engine</x:v>
      </x:c>
      <x:c r="D49" s="28" t="str">
        <x:v>QR</x:v>
      </x:c>
      <x:c r="E49" s="28" t="str">
        <x:v>QR-006</x:v>
      </x:c>
      <x:c r="F49" s="28" t="str">
        <x:v>CPL-05، CPL-16، CPL-19، CPL-20، CPL-21</x:v>
      </x:c>
      <x:c r="G49" s="28" t="str">
        <x:v>بازدیدکننده / سیستم QR</x:v>
      </x:c>
      <x:c r="H49" s="28" t="str">
        <x:v>به‌عنوان بازدیدکننده / سیستم QR می‌خواهم ادمین بتواند QRهای چاپی را با برچسب محل نصب و تست روزانه خروجی بگیرد. تا اجرای پایلوت و سنجش آن مطابق FRD v1.1 کنترل شود.</x:v>
      </x:c>
      <x:c r="I49" s="28" t="str">
        <x:v>چک‌لیست نصب QR برای Runbook تولید شود.</x:v>
      </x:c>
      <x:c r="J49" s="28" t="str">
        <x:v>P1</x:v>
      </x:c>
      <x:c r="K49" s="28" t="str">
        <x:v>Should</x:v>
      </x:c>
      <x:c r="L49" s="28" t="str">
        <x:v>MVP</x:v>
      </x:c>
      <x:c r="M49" s="28" t="str">
        <x:v>Sprint 1</x:v>
      </x:c>
      <x:c r="N49" s="28" t="n">
        <x:v>8</x:v>
      </x:c>
      <x:c r="O49" s="28" t="str">
        <x:v>VENUE-001..003, EVENT-001</x:v>
      </x:c>
      <x:c r="P49" s="28" t="str">
        <x:v>Not Started</x:v>
      </x:c>
      <x:c r="Q49" s="28" t="str">
        <x:v>TC-048</x:v>
      </x:c>
      <x:c r="R49" s="28" t="str">
        <x:v>بررسی شود که QR-006 اجرا شده و معیار پذیرش آن برقرار است: چک‌لیست نصب QR برای Runbook تولید شود.</x:v>
      </x:c>
      <x:c r="S49" s="28" t="str">
        <x:v>Generated from FRD v1.1</x:v>
      </x:c>
    </x:row>
    <x:row r="50">
      <x:c r="A50" s="28" t="str">
        <x:v>US-049</x:v>
      </x:c>
      <x:c r="B50" s="28" t="str">
        <x:v>EPIC-09</x:v>
      </x:c>
      <x:c r="C50" s="28" t="str">
        <x:v>Quest &amp; Mission Execution</x:v>
      </x:c>
      <x:c r="D50" s="28" t="str">
        <x:v>QUEST</x:v>
      </x:c>
      <x:c r="E50" s="28" t="str">
        <x:v>QUEST-001</x:v>
      </x:c>
      <x:c r="F50" s="28" t="str">
        <x:v>CPL-11، CPL-19، CPL-20، CPL-23</x:v>
      </x:c>
      <x:c r="G50" s="28" t="str">
        <x:v>کاربر / Campaign Manager</x:v>
      </x:c>
      <x:c r="H50" s="28" t="str">
        <x:v>به‌عنوان کاربر / Campaign Manager می‌خواهم سیستم باید Quest با Scenario، Venue/Hub، زمان، Rule، Reward و وضعیت تعریف کند. تا اجرای پایلوت و سنجش آن مطابق FRD v1.1 کنترل شود.</x:v>
      </x:c>
      <x:c r="I50" s="28" t="str">
        <x:v>مأموریت فعال در کمپین درست به کاربر نمایش داده شود.</x:v>
      </x:c>
      <x:c r="J50" s="28" t="str">
        <x:v>P0</x:v>
      </x:c>
      <x:c r="K50" s="28" t="str">
        <x:v>Must</x:v>
      </x:c>
      <x:c r="L50" s="28" t="str">
        <x:v>MVP</x:v>
      </x:c>
      <x:c r="M50" s="28" t="str">
        <x:v>Sprint 2</x:v>
      </x:c>
      <x:c r="N50" s="28" t="n">
        <x:v>8</x:v>
      </x:c>
      <x:c r="O50" s="28" t="str">
        <x:v>CAM-001, QR-001</x:v>
      </x:c>
      <x:c r="P50" s="28" t="str">
        <x:v>Not Started</x:v>
      </x:c>
      <x:c r="Q50" s="28" t="str">
        <x:v>TC-049</x:v>
      </x:c>
      <x:c r="R50" s="28" t="str">
        <x:v>بررسی شود که QUEST-001 اجرا شده و معیار پذیرش آن برقرار است: مأموریت فعال در کمپین درست به کاربر نمایش داده شود.</x:v>
      </x:c>
      <x:c r="S50" s="28" t="str">
        <x:v>Generated from FRD v1.1</x:v>
      </x:c>
    </x:row>
    <x:row r="51">
      <x:c r="A51" s="28" t="str">
        <x:v>US-050</x:v>
      </x:c>
      <x:c r="B51" s="28" t="str">
        <x:v>EPIC-09</x:v>
      </x:c>
      <x:c r="C51" s="28" t="str">
        <x:v>Quest &amp; Mission Execution</x:v>
      </x:c>
      <x:c r="D51" s="28" t="str">
        <x:v>QUEST</x:v>
      </x:c>
      <x:c r="E51" s="28" t="str">
        <x:v>QUEST-002</x:v>
      </x:c>
      <x:c r="F51" s="28" t="str">
        <x:v>CPL-11، CPL-19، CPL-20، CPL-23</x:v>
      </x:c>
      <x:c r="G51" s="28" t="str">
        <x:v>کاربر / Campaign Manager</x:v>
      </x:c>
      <x:c r="H51" s="28" t="str">
        <x:v>به‌عنوان کاربر / Campaign Manager می‌خواهم حداقل مأموریت QR-based، Timed، Merchant Visit و Reward-triggered پشتیبانی شود. تا اجرای پایلوت و سنجش آن مطابق FRD v1.1 کنترل شود.</x:v>
      </x:c>
      <x:c r="I51" s="28" t="str">
        <x:v>اکوپارک/ارم/برج میلاد بتوانند سناریوهای پایه اجرا کنند.</x:v>
      </x:c>
      <x:c r="J51" s="28" t="str">
        <x:v>P0</x:v>
      </x:c>
      <x:c r="K51" s="28" t="str">
        <x:v>Must</x:v>
      </x:c>
      <x:c r="L51" s="28" t="str">
        <x:v>MVP</x:v>
      </x:c>
      <x:c r="M51" s="28" t="str">
        <x:v>Sprint 2</x:v>
      </x:c>
      <x:c r="N51" s="28" t="n">
        <x:v>8</x:v>
      </x:c>
      <x:c r="O51" s="28" t="str">
        <x:v>CAM-001, QR-001</x:v>
      </x:c>
      <x:c r="P51" s="28" t="str">
        <x:v>Not Started</x:v>
      </x:c>
      <x:c r="Q51" s="28" t="str">
        <x:v>TC-050</x:v>
      </x:c>
      <x:c r="R51" s="28" t="str">
        <x:v>بررسی شود که QUEST-002 اجرا شده و معیار پذیرش آن برقرار است: اکوپارک/ارم/برج میلاد بتوانند سناریوهای پایه اجرا کنند.</x:v>
      </x:c>
      <x:c r="S51" s="28" t="str">
        <x:v>Generated from FRD v1.1</x:v>
      </x:c>
    </x:row>
    <x:row r="52">
      <x:c r="A52" s="28" t="str">
        <x:v>US-051</x:v>
      </x:c>
      <x:c r="B52" s="28" t="str">
        <x:v>EPIC-09</x:v>
      </x:c>
      <x:c r="C52" s="28" t="str">
        <x:v>Quest &amp; Mission Execution</x:v>
      </x:c>
      <x:c r="D52" s="28" t="str">
        <x:v>QUEST</x:v>
      </x:c>
      <x:c r="E52" s="28" t="str">
        <x:v>QUEST-003</x:v>
      </x:c>
      <x:c r="F52" s="28" t="str">
        <x:v>CPL-11، CPL-19، CPL-20، CPL-23</x:v>
      </x:c>
      <x:c r="G52" s="28" t="str">
        <x:v>کاربر / Campaign Manager</x:v>
      </x:c>
      <x:c r="H52" s="28" t="str">
        <x:v>به‌عنوان کاربر / Campaign Manager می‌خواهم پیشرفت و تکمیل مأموریت باید برای هر کاربر ثبت شود. تا اجرای پایلوت و سنجش آن مطابق FRD v1.1 کنترل شود.</x:v>
      </x:c>
      <x:c r="I52" s="28" t="str">
        <x:v>Event mission_started و mission_completed تولید شود.</x:v>
      </x:c>
      <x:c r="J52" s="28" t="str">
        <x:v>P0</x:v>
      </x:c>
      <x:c r="K52" s="28" t="str">
        <x:v>Must</x:v>
      </x:c>
      <x:c r="L52" s="28" t="str">
        <x:v>MVP</x:v>
      </x:c>
      <x:c r="M52" s="28" t="str">
        <x:v>Sprint 2</x:v>
      </x:c>
      <x:c r="N52" s="28" t="n">
        <x:v>8</x:v>
      </x:c>
      <x:c r="O52" s="28" t="str">
        <x:v>CAM-001, QR-001</x:v>
      </x:c>
      <x:c r="P52" s="28" t="str">
        <x:v>Not Started</x:v>
      </x:c>
      <x:c r="Q52" s="28" t="str">
        <x:v>TC-051</x:v>
      </x:c>
      <x:c r="R52" s="28" t="str">
        <x:v>بررسی شود که QUEST-003 اجرا شده و معیار پذیرش آن برقرار است: Event mission_started و mission_completed تولید شود.</x:v>
      </x:c>
      <x:c r="S52" s="28" t="str">
        <x:v>Generated from FRD v1.1</x:v>
      </x:c>
    </x:row>
    <x:row r="53">
      <x:c r="A53" s="28" t="str">
        <x:v>US-052</x:v>
      </x:c>
      <x:c r="B53" s="28" t="str">
        <x:v>EPIC-09</x:v>
      </x:c>
      <x:c r="C53" s="28" t="str">
        <x:v>Quest &amp; Mission Execution</x:v>
      </x:c>
      <x:c r="D53" s="28" t="str">
        <x:v>QUEST</x:v>
      </x:c>
      <x:c r="E53" s="28" t="str">
        <x:v>QUEST-004</x:v>
      </x:c>
      <x:c r="F53" s="28" t="str">
        <x:v>CPL-11، CPL-19، CPL-20، CPL-23</x:v>
      </x:c>
      <x:c r="G53" s="28" t="str">
        <x:v>کاربر / Campaign Manager</x:v>
      </x:c>
      <x:c r="H53" s="28" t="str">
        <x:v>به‌عنوان کاربر / Campaign Manager می‌خواهم تکمیل مأموریت باید قابل اعتبارسنجی و Audit باشد. تا اجرای پایلوت و سنجش آن مطابق FRD v1.1 کنترل شود.</x:v>
      </x:c>
      <x:c r="I53" s="28" t="str">
        <x:v>تکمیل جعلی یا تکراری امتیاز ایجاد نکند.</x:v>
      </x:c>
      <x:c r="J53" s="28" t="str">
        <x:v>P0</x:v>
      </x:c>
      <x:c r="K53" s="28" t="str">
        <x:v>Must</x:v>
      </x:c>
      <x:c r="L53" s="28" t="str">
        <x:v>MVP</x:v>
      </x:c>
      <x:c r="M53" s="28" t="str">
        <x:v>Sprint 2</x:v>
      </x:c>
      <x:c r="N53" s="28" t="n">
        <x:v>8</x:v>
      </x:c>
      <x:c r="O53" s="28" t="str">
        <x:v>CAM-001, QR-001</x:v>
      </x:c>
      <x:c r="P53" s="28" t="str">
        <x:v>Not Started</x:v>
      </x:c>
      <x:c r="Q53" s="28" t="str">
        <x:v>TC-052</x:v>
      </x:c>
      <x:c r="R53" s="28" t="str">
        <x:v>بررسی شود که QUEST-004 اجرا شده و معیار پذیرش آن برقرار است: تکمیل جعلی یا تکراری امتیاز ایجاد نکند.</x:v>
      </x:c>
      <x:c r="S53" s="28" t="str">
        <x:v>Generated from FRD v1.1</x:v>
      </x:c>
    </x:row>
    <x:row r="54">
      <x:c r="A54" s="28" t="str">
        <x:v>US-053</x:v>
      </x:c>
      <x:c r="B54" s="28" t="str">
        <x:v>EPIC-09</x:v>
      </x:c>
      <x:c r="C54" s="28" t="str">
        <x:v>Quest &amp; Mission Execution</x:v>
      </x:c>
      <x:c r="D54" s="28" t="str">
        <x:v>QUEST</x:v>
      </x:c>
      <x:c r="E54" s="28" t="str">
        <x:v>QUEST-005</x:v>
      </x:c>
      <x:c r="F54" s="28" t="str">
        <x:v>CPL-11، CPL-19، CPL-20، CPL-23</x:v>
      </x:c>
      <x:c r="G54" s="28" t="str">
        <x:v>کاربر / Campaign Manager</x:v>
      </x:c>
      <x:c r="H54" s="28" t="str">
        <x:v>به‌عنوان کاربر / Campaign Manager می‌خواهم مأموریت‌های Family، Food Tour، Skill Challenge و Photo/Social به‌صورت Template قابل ایجاد باشند. تا اجرای پایلوت و سنجش آن مطابق FRD v1.1 کنترل شود.</x:v>
      </x:c>
      <x:c r="I54" s="28" t="str">
        <x:v>Campaign Manager بتواند Template را Clone کند.</x:v>
      </x:c>
      <x:c r="J54" s="28" t="str">
        <x:v>P2</x:v>
      </x:c>
      <x:c r="K54" s="28" t="str">
        <x:v>Should</x:v>
      </x:c>
      <x:c r="L54" s="28" t="str">
        <x:v>MVP</x:v>
      </x:c>
      <x:c r="M54" s="28" t="str">
        <x:v>Sprint 2</x:v>
      </x:c>
      <x:c r="N54" s="28" t="n">
        <x:v>8</x:v>
      </x:c>
      <x:c r="O54" s="28" t="str">
        <x:v>CAM-001, QR-001</x:v>
      </x:c>
      <x:c r="P54" s="28" t="str">
        <x:v>Not Started</x:v>
      </x:c>
      <x:c r="Q54" s="28" t="str">
        <x:v>TC-053</x:v>
      </x:c>
      <x:c r="R54" s="28" t="str">
        <x:v>بررسی شود که QUEST-005 اجرا شده و معیار پذیرش آن برقرار است: Campaign Manager بتواند Template را Clone کند.</x:v>
      </x:c>
      <x:c r="S54" s="28" t="str">
        <x:v>Generated from FRD v1.1</x:v>
      </x:c>
    </x:row>
    <x:row r="55">
      <x:c r="A55" s="28" t="str">
        <x:v>US-054</x:v>
      </x:c>
      <x:c r="B55" s="28" t="str">
        <x:v>EPIC-09</x:v>
      </x:c>
      <x:c r="C55" s="28" t="str">
        <x:v>Quest &amp; Mission Execution</x:v>
      </x:c>
      <x:c r="D55" s="28" t="str">
        <x:v>QUEST</x:v>
      </x:c>
      <x:c r="E55" s="28" t="str">
        <x:v>QUEST-006</x:v>
      </x:c>
      <x:c r="F55" s="28" t="str">
        <x:v>CPL-11، CPL-19، CPL-20، CPL-23</x:v>
      </x:c>
      <x:c r="G55" s="28" t="str">
        <x:v>کاربر / Campaign Manager</x:v>
      </x:c>
      <x:c r="H55" s="28" t="str">
        <x:v>به‌عنوان کاربر / Campaign Manager می‌خواهم مسیر مأموریت باید برای کاربر ساده و کوتاه باشد. تا اجرای پایلوت و سنجش آن مطابق FRD v1.1 کنترل شود.</x:v>
      </x:c>
      <x:c r="I55" s="28" t="str">
        <x:v>کاربر با حداکثر چند اقدام اصلی مأموریت را بفهمد و شروع کند.</x:v>
      </x:c>
      <x:c r="J55" s="28" t="str">
        <x:v>P2</x:v>
      </x:c>
      <x:c r="K55" s="28" t="str">
        <x:v>Should</x:v>
      </x:c>
      <x:c r="L55" s="28" t="str">
        <x:v>MVP</x:v>
      </x:c>
      <x:c r="M55" s="28" t="str">
        <x:v>Sprint 2</x:v>
      </x:c>
      <x:c r="N55" s="28" t="n">
        <x:v>8</x:v>
      </x:c>
      <x:c r="O55" s="28" t="str">
        <x:v>CAM-001, QR-001</x:v>
      </x:c>
      <x:c r="P55" s="28" t="str">
        <x:v>Not Started</x:v>
      </x:c>
      <x:c r="Q55" s="28" t="str">
        <x:v>TC-054</x:v>
      </x:c>
      <x:c r="R55" s="28" t="str">
        <x:v>بررسی شود که QUEST-006 اجرا شده و معیار پذیرش آن برقرار است: کاربر با حداکثر چند اقدام اصلی مأموریت را بفهمد و شروع کند.</x:v>
      </x:c>
      <x:c r="S55" s="28" t="str">
        <x:v>Generated from FRD v1.1</x:v>
      </x:c>
    </x:row>
    <x:row r="56">
      <x:c r="A56" s="28" t="str">
        <x:v>US-055</x:v>
      </x:c>
      <x:c r="B56" s="28" t="str">
        <x:v>EPIC-10</x:v>
      </x:c>
      <x:c r="C56" s="28" t="str">
        <x:v>Reward, Coupon &amp; Fraud Control</x:v>
      </x:c>
      <x:c r="D56" s="28" t="str">
        <x:v>REWARD</x:v>
      </x:c>
      <x:c r="E56" s="28" t="str">
        <x:v>REWARD-001</x:v>
      </x:c>
      <x:c r="F56" s="28" t="str">
        <x:v>CPL-01، CPL-14، CPL-16، CPL-20، CPL-22، CPL-24</x:v>
      </x:c>
      <x:c r="G56" s="28" t="str">
        <x:v>کاربر / Merchant Staff</x:v>
      </x:c>
      <x:c r="H56" s="28" t="str">
        <x:v>به‌عنوان کاربر / Merchant Staff می‌خواهم سیستم باید پاداش را بر اساس Rule مأموریت صادر کند. تا اجرای پایلوت و سنجش آن مطابق FRD v1.1 کنترل شود.</x:v>
      </x:c>
      <x:c r="I56" s="28" t="str">
        <x:v>پس از mission_completed، reward_issued ایجاد شود.</x:v>
      </x:c>
      <x:c r="J56" s="28" t="str">
        <x:v>P0</x:v>
      </x:c>
      <x:c r="K56" s="28" t="str">
        <x:v>Must</x:v>
      </x:c>
      <x:c r="L56" s="28" t="str">
        <x:v>MVP</x:v>
      </x:c>
      <x:c r="M56" s="28" t="str">
        <x:v>Sprint 2</x:v>
      </x:c>
      <x:c r="N56" s="28" t="n">
        <x:v>8</x:v>
      </x:c>
      <x:c r="O56" s="28" t="str">
        <x:v>QUEST-003, MERCH-003</x:v>
      </x:c>
      <x:c r="P56" s="28" t="str">
        <x:v>Not Started</x:v>
      </x:c>
      <x:c r="Q56" s="28" t="str">
        <x:v>TC-055</x:v>
      </x:c>
      <x:c r="R56" s="28" t="str">
        <x:v>بررسی شود که REWARD-001 اجرا شده و معیار پذیرش آن برقرار است: پس از mission_completed، reward_issued ایجاد شود.</x:v>
      </x:c>
      <x:c r="S56" s="28" t="str">
        <x:v>Generated from FRD v1.1</x:v>
      </x:c>
    </x:row>
    <x:row r="57">
      <x:c r="A57" s="28" t="str">
        <x:v>US-056</x:v>
      </x:c>
      <x:c r="B57" s="28" t="str">
        <x:v>EPIC-10</x:v>
      </x:c>
      <x:c r="C57" s="28" t="str">
        <x:v>Reward, Coupon &amp; Fraud Control</x:v>
      </x:c>
      <x:c r="D57" s="28" t="str">
        <x:v>REWARD</x:v>
      </x:c>
      <x:c r="E57" s="28" t="str">
        <x:v>REWARD-002</x:v>
      </x:c>
      <x:c r="F57" s="28" t="str">
        <x:v>CPL-01، CPL-14، CPL-16، CPL-20، CPL-22، CPL-24</x:v>
      </x:c>
      <x:c r="G57" s="28" t="str">
        <x:v>کاربر / Merchant Staff</x:v>
      </x:c>
      <x:c r="H57" s="28" t="str">
        <x:v>به‌عنوان کاربر / Merchant Staff می‌خواهم کوپن باید وضعیت Active، Redeemed، Expired، Revoked داشته باشد. تا اجرای پایلوت و سنجش آن مطابق FRD v1.1 کنترل شود.</x:v>
      </x:c>
      <x:c r="I57" s="28" t="str">
        <x:v>کوپن مصرف‌شده دوباره قابل مصرف نباشد.</x:v>
      </x:c>
      <x:c r="J57" s="28" t="str">
        <x:v>P0</x:v>
      </x:c>
      <x:c r="K57" s="28" t="str">
        <x:v>Must</x:v>
      </x:c>
      <x:c r="L57" s="28" t="str">
        <x:v>MVP</x:v>
      </x:c>
      <x:c r="M57" s="28" t="str">
        <x:v>Sprint 2</x:v>
      </x:c>
      <x:c r="N57" s="28" t="n">
        <x:v>8</x:v>
      </x:c>
      <x:c r="O57" s="28" t="str">
        <x:v>QUEST-003, MERCH-003</x:v>
      </x:c>
      <x:c r="P57" s="28" t="str">
        <x:v>Not Started</x:v>
      </x:c>
      <x:c r="Q57" s="28" t="str">
        <x:v>TC-056</x:v>
      </x:c>
      <x:c r="R57" s="28" t="str">
        <x:v>بررسی شود که REWARD-002 اجرا شده و معیار پذیرش آن برقرار است: کوپن مصرف‌شده دوباره قابل مصرف نباشد.</x:v>
      </x:c>
      <x:c r="S57" s="28" t="str">
        <x:v>Generated from FRD v1.1</x:v>
      </x:c>
    </x:row>
    <x:row r="58">
      <x:c r="A58" s="28" t="str">
        <x:v>US-057</x:v>
      </x:c>
      <x:c r="B58" s="28" t="str">
        <x:v>EPIC-10</x:v>
      </x:c>
      <x:c r="C58" s="28" t="str">
        <x:v>Reward, Coupon &amp; Fraud Control</x:v>
      </x:c>
      <x:c r="D58" s="28" t="str">
        <x:v>REWARD</x:v>
      </x:c>
      <x:c r="E58" s="28" t="str">
        <x:v>REWARD-003</x:v>
      </x:c>
      <x:c r="F58" s="28" t="str">
        <x:v>CPL-01، CPL-14، CPL-16، CPL-20، CPL-22، CPL-24</x:v>
      </x:c>
      <x:c r="G58" s="28" t="str">
        <x:v>کاربر / Merchant Staff</x:v>
      </x:c>
      <x:c r="H58" s="28" t="str">
        <x:v>به‌عنوان کاربر / Merchant Staff می‌خواهم مصرف پاداش در Merchant/Reward Point باید با کد یا تأیید معتبر ثبت شود. تا اجرای پایلوت و سنجش آن مطابق FRD v1.1 کنترل شود.</x:v>
      </x:c>
      <x:c r="I58" s="28" t="str">
        <x:v>Event reward_redeemed و Redemption رکورد شود.</x:v>
      </x:c>
      <x:c r="J58" s="28" t="str">
        <x:v>P0</x:v>
      </x:c>
      <x:c r="K58" s="28" t="str">
        <x:v>Must</x:v>
      </x:c>
      <x:c r="L58" s="28" t="str">
        <x:v>MVP</x:v>
      </x:c>
      <x:c r="M58" s="28" t="str">
        <x:v>Sprint 2</x:v>
      </x:c>
      <x:c r="N58" s="28" t="n">
        <x:v>8</x:v>
      </x:c>
      <x:c r="O58" s="28" t="str">
        <x:v>QUEST-003, MERCH-003</x:v>
      </x:c>
      <x:c r="P58" s="28" t="str">
        <x:v>Not Started</x:v>
      </x:c>
      <x:c r="Q58" s="28" t="str">
        <x:v>TC-057</x:v>
      </x:c>
      <x:c r="R58" s="28" t="str">
        <x:v>بررسی شود که REWARD-003 اجرا شده و معیار پذیرش آن برقرار است: Event reward_redeemed و Redemption رکورد شود.</x:v>
      </x:c>
      <x:c r="S58" s="28" t="str">
        <x:v>Generated from FRD v1.1</x:v>
      </x:c>
    </x:row>
    <x:row r="59">
      <x:c r="A59" s="28" t="str">
        <x:v>US-058</x:v>
      </x:c>
      <x:c r="B59" s="28" t="str">
        <x:v>EPIC-10</x:v>
      </x:c>
      <x:c r="C59" s="28" t="str">
        <x:v>Reward, Coupon &amp; Fraud Control</x:v>
      </x:c>
      <x:c r="D59" s="28" t="str">
        <x:v>REWARD</x:v>
      </x:c>
      <x:c r="E59" s="28" t="str">
        <x:v>REWARD-004</x:v>
      </x:c>
      <x:c r="F59" s="28" t="str">
        <x:v>CPL-01، CPL-14، CPL-16، CPL-20، CPL-22، CPL-24</x:v>
      </x:c>
      <x:c r="G59" s="28" t="str">
        <x:v>کاربر / Merchant Staff</x:v>
      </x:c>
      <x:c r="H59" s="28" t="str">
        <x:v>به‌عنوان کاربر / Merchant Staff می‌خواهم سقف مصرف، محدودیت زمانی، محدودیت تعداد و کنترل استفاده تکراری وجود داشته باشد. تا اجرای پایلوت و سنجش آن مطابق FRD v1.1 کنترل شود.</x:v>
      </x:c>
      <x:c r="I59" s="28" t="str">
        <x:v>تقلب‌های پایه Flag شوند.</x:v>
      </x:c>
      <x:c r="J59" s="28" t="str">
        <x:v>P0</x:v>
      </x:c>
      <x:c r="K59" s="28" t="str">
        <x:v>Must</x:v>
      </x:c>
      <x:c r="L59" s="28" t="str">
        <x:v>MVP</x:v>
      </x:c>
      <x:c r="M59" s="28" t="str">
        <x:v>Sprint 2</x:v>
      </x:c>
      <x:c r="N59" s="28" t="n">
        <x:v>8</x:v>
      </x:c>
      <x:c r="O59" s="28" t="str">
        <x:v>QUEST-003, MERCH-003</x:v>
      </x:c>
      <x:c r="P59" s="28" t="str">
        <x:v>Not Started</x:v>
      </x:c>
      <x:c r="Q59" s="28" t="str">
        <x:v>TC-058</x:v>
      </x:c>
      <x:c r="R59" s="28" t="str">
        <x:v>بررسی شود که REWARD-004 اجرا شده و معیار پذیرش آن برقرار است: تقلب‌های پایه Flag شوند.</x:v>
      </x:c>
      <x:c r="S59" s="28" t="str">
        <x:v>Generated from FRD v1.1</x:v>
      </x:c>
    </x:row>
    <x:row r="60">
      <x:c r="A60" s="28" t="str">
        <x:v>US-059</x:v>
      </x:c>
      <x:c r="B60" s="28" t="str">
        <x:v>EPIC-10</x:v>
      </x:c>
      <x:c r="C60" s="28" t="str">
        <x:v>Reward, Coupon &amp; Fraud Control</x:v>
      </x:c>
      <x:c r="D60" s="28" t="str">
        <x:v>REWARD</x:v>
      </x:c>
      <x:c r="E60" s="28" t="str">
        <x:v>REWARD-005</x:v>
      </x:c>
      <x:c r="F60" s="28" t="str">
        <x:v>CPL-01، CPL-14، CPL-16، CPL-20، CPL-22، CPL-24</x:v>
      </x:c>
      <x:c r="G60" s="28" t="str">
        <x:v>کاربر / Merchant Staff</x:v>
      </x:c>
      <x:c r="H60" s="28" t="str">
        <x:v>به‌عنوان کاربر / Merchant Staff می‌خواهم پاداش‌های پایان پایلوت باید سیاست انقضا/تمدید/تسویه داشته باشند. تا اجرای پایلوت و سنجش آن مطابق FRD v1.1 کنترل شود.</x:v>
      </x:c>
      <x:c r="I60" s="28" t="str">
        <x:v>Closure Report شامل پاداش‌های مصرف‌نشده باشد.</x:v>
      </x:c>
      <x:c r="J60" s="28" t="str">
        <x:v>P1</x:v>
      </x:c>
      <x:c r="K60" s="28" t="str">
        <x:v>Should</x:v>
      </x:c>
      <x:c r="L60" s="28" t="str">
        <x:v>MVP</x:v>
      </x:c>
      <x:c r="M60" s="28" t="str">
        <x:v>Sprint 2</x:v>
      </x:c>
      <x:c r="N60" s="28" t="n">
        <x:v>8</x:v>
      </x:c>
      <x:c r="O60" s="28" t="str">
        <x:v>QUEST-003, MERCH-003</x:v>
      </x:c>
      <x:c r="P60" s="28" t="str">
        <x:v>Not Started</x:v>
      </x:c>
      <x:c r="Q60" s="28" t="str">
        <x:v>TC-059</x:v>
      </x:c>
      <x:c r="R60" s="28" t="str">
        <x:v>بررسی شود که REWARD-005 اجرا شده و معیار پذیرش آن برقرار است: Closure Report شامل پاداش‌های مصرف‌نشده باشد.</x:v>
      </x:c>
      <x:c r="S60" s="28" t="str">
        <x:v>Generated from FRD v1.1</x:v>
      </x:c>
    </x:row>
    <x:row r="61">
      <x:c r="A61" s="28" t="str">
        <x:v>US-060</x:v>
      </x:c>
      <x:c r="B61" s="28" t="str">
        <x:v>EPIC-10</x:v>
      </x:c>
      <x:c r="C61" s="28" t="str">
        <x:v>Reward, Coupon &amp; Fraud Control</x:v>
      </x:c>
      <x:c r="D61" s="28" t="str">
        <x:v>REWARD</x:v>
      </x:c>
      <x:c r="E61" s="28" t="str">
        <x:v>REWARD-006</x:v>
      </x:c>
      <x:c r="F61" s="28" t="str">
        <x:v>CPL-01، CPL-14، CPL-16، CPL-20، CPL-22، CPL-24</x:v>
      </x:c>
      <x:c r="G61" s="28" t="str">
        <x:v>کاربر / Merchant Staff</x:v>
      </x:c>
      <x:c r="H61" s="28" t="str">
        <x:v>به‌عنوان کاربر / Merchant Staff می‌خواهم اختلاف پاداش یا عدم پذیرش فروشگاه باید Issue/Ticket ایجاد کند. تا اجرای پایلوت و سنجش آن مطابق FRD v1.1 کنترل شود.</x:v>
      </x:c>
      <x:c r="I61" s="28" t="str">
        <x:v>Support بتواند مورد را پیگیری کند.</x:v>
      </x:c>
      <x:c r="J61" s="28" t="str">
        <x:v>P1</x:v>
      </x:c>
      <x:c r="K61" s="28" t="str">
        <x:v>Should</x:v>
      </x:c>
      <x:c r="L61" s="28" t="str">
        <x:v>MVP</x:v>
      </x:c>
      <x:c r="M61" s="28" t="str">
        <x:v>Sprint 2</x:v>
      </x:c>
      <x:c r="N61" s="28" t="n">
        <x:v>8</x:v>
      </x:c>
      <x:c r="O61" s="28" t="str">
        <x:v>QUEST-003, MERCH-003</x:v>
      </x:c>
      <x:c r="P61" s="28" t="str">
        <x:v>Not Started</x:v>
      </x:c>
      <x:c r="Q61" s="28" t="str">
        <x:v>TC-060</x:v>
      </x:c>
      <x:c r="R61" s="28" t="str">
        <x:v>بررسی شود که REWARD-006 اجرا شده و معیار پذیرش آن برقرار است: Support بتواند مورد را پیگیری کند.</x:v>
      </x:c>
      <x:c r="S61" s="28" t="str">
        <x:v>Generated from FRD v1.1</x:v>
      </x:c>
    </x:row>
    <x:row r="62">
      <x:c r="A62" s="28" t="str">
        <x:v>US-061</x:v>
      </x:c>
      <x:c r="B62" s="28" t="str">
        <x:v>EPIC-11</x:v>
      </x:c>
      <x:c r="C62" s="28" t="str">
        <x:v>Merchant Onboarding &amp; Dashboard</x:v>
      </x:c>
      <x:c r="D62" s="28" t="str">
        <x:v>MERCH</x:v>
      </x:c>
      <x:c r="E62" s="28" t="str">
        <x:v>MERCH-001</x:v>
      </x:c>
      <x:c r="F62" s="28" t="str">
        <x:v>CPL-01، CPL-14، CPL-15، CPL-20</x:v>
      </x:c>
      <x:c r="G62" s="28" t="str">
        <x:v>Merchant Owner / تیم فروش</x:v>
      </x:c>
      <x:c r="H62" s="28" t="str">
        <x:v>به‌عنوان Merchant Owner / تیم فروش می‌خواهم سیستم باید Merchant Profile شامل Venue/Hub، دسته، وضعیت، مسئول و پکیج داشته باشد. تا اجرای پایلوت و سنجش آن مطابق FRD v1.1 کنترل شود.</x:v>
      </x:c>
      <x:c r="I62" s="28" t="str">
        <x:v>Merchant در رواق، فودکورت، زون بازی یا برج میلاد قابل ثبت باشد.</x:v>
      </x:c>
      <x:c r="J62" s="28" t="str">
        <x:v>P1</x:v>
      </x:c>
      <x:c r="K62" s="28" t="str">
        <x:v>Must</x:v>
      </x:c>
      <x:c r="L62" s="28" t="str">
        <x:v>MVP+MVCP</x:v>
      </x:c>
      <x:c r="M62" s="28" t="str">
        <x:v>Sprint 4</x:v>
      </x:c>
      <x:c r="N62" s="28" t="n">
        <x:v>5</x:v>
      </x:c>
      <x:c r="O62" s="28" t="str">
        <x:v>VENUE-001, COMM-001</x:v>
      </x:c>
      <x:c r="P62" s="28" t="str">
        <x:v>Not Started</x:v>
      </x:c>
      <x:c r="Q62" s="28" t="str">
        <x:v>TC-061</x:v>
      </x:c>
      <x:c r="R62" s="28" t="str">
        <x:v>بررسی شود که MERCH-001 اجرا شده و معیار پذیرش آن برقرار است: Merchant در رواق، فودکورت، زون بازی یا برج میلاد قابل ثبت باشد.</x:v>
      </x:c>
      <x:c r="S62" s="28" t="str">
        <x:v>Generated from FRD v1.1</x:v>
      </x:c>
    </x:row>
    <x:row r="63">
      <x:c r="A63" s="28" t="str">
        <x:v>US-062</x:v>
      </x:c>
      <x:c r="B63" s="28" t="str">
        <x:v>EPIC-11</x:v>
      </x:c>
      <x:c r="C63" s="28" t="str">
        <x:v>Merchant Onboarding &amp; Dashboard</x:v>
      </x:c>
      <x:c r="D63" s="28" t="str">
        <x:v>MERCH</x:v>
      </x:c>
      <x:c r="E63" s="28" t="str">
        <x:v>MERCH-002</x:v>
      </x:c>
      <x:c r="F63" s="28" t="str">
        <x:v>CPL-01، CPL-14، CPL-15، CPL-20</x:v>
      </x:c>
      <x:c r="G63" s="28" t="str">
        <x:v>Merchant Owner / تیم فروش</x:v>
      </x:c>
      <x:c r="H63" s="28" t="str">
        <x:v>به‌عنوان Merchant Owner / تیم فروش می‌خواهم پکیج‌های پایه، رشد، ویژه، اسپانسری یا Media Bundle باید قابل تعریف باشند. تا اجرای پایلوت و سنجش آن مطابق FRD v1.1 کنترل شود.</x:v>
      </x:c>
      <x:c r="I63" s="28" t="str">
        <x:v>هر Merchant به یک Package متصل شود.</x:v>
      </x:c>
      <x:c r="J63" s="28" t="str">
        <x:v>P1</x:v>
      </x:c>
      <x:c r="K63" s="28" t="str">
        <x:v>Must</x:v>
      </x:c>
      <x:c r="L63" s="28" t="str">
        <x:v>MVP+MVCP</x:v>
      </x:c>
      <x:c r="M63" s="28" t="str">
        <x:v>Sprint 4</x:v>
      </x:c>
      <x:c r="N63" s="28" t="n">
        <x:v>5</x:v>
      </x:c>
      <x:c r="O63" s="28" t="str">
        <x:v>VENUE-001, COMM-001</x:v>
      </x:c>
      <x:c r="P63" s="28" t="str">
        <x:v>Not Started</x:v>
      </x:c>
      <x:c r="Q63" s="28" t="str">
        <x:v>TC-062</x:v>
      </x:c>
      <x:c r="R63" s="28" t="str">
        <x:v>بررسی شود که MERCH-002 اجرا شده و معیار پذیرش آن برقرار است: هر Merchant به یک Package متصل شود.</x:v>
      </x:c>
      <x:c r="S63" s="28" t="str">
        <x:v>Generated from FRD v1.1</x:v>
      </x:c>
    </x:row>
    <x:row r="64">
      <x:c r="A64" s="28" t="str">
        <x:v>US-063</x:v>
      </x:c>
      <x:c r="B64" s="28" t="str">
        <x:v>EPIC-11</x:v>
      </x:c>
      <x:c r="C64" s="28" t="str">
        <x:v>Merchant Onboarding &amp; Dashboard</x:v>
      </x:c>
      <x:c r="D64" s="28" t="str">
        <x:v>MERCH</x:v>
      </x:c>
      <x:c r="E64" s="28" t="str">
        <x:v>MERCH-003</x:v>
      </x:c>
      <x:c r="F64" s="28" t="str">
        <x:v>CPL-01، CPL-14، CPL-15، CPL-20</x:v>
      </x:c>
      <x:c r="G64" s="28" t="str">
        <x:v>Merchant Owner / تیم فروش</x:v>
      </x:c>
      <x:c r="H64" s="28" t="str">
        <x:v>به‌عنوان Merchant Owner / تیم فروش می‌خواهم هر Merchant باید Reward/Offer فعال، محدودیت و روش پذیرش داشته باشد. تا اجرای پایلوت و سنجش آن مطابق FRD v1.1 کنترل شود.</x:v>
      </x:c>
      <x:c r="I64" s="28" t="str">
        <x:v>کوپن فروشگاهی بدون تعهد پذیرش منتشر نشود.</x:v>
      </x:c>
      <x:c r="J64" s="28" t="str">
        <x:v>P1</x:v>
      </x:c>
      <x:c r="K64" s="28" t="str">
        <x:v>Must</x:v>
      </x:c>
      <x:c r="L64" s="28" t="str">
        <x:v>MVP+MVCP</x:v>
      </x:c>
      <x:c r="M64" s="28" t="str">
        <x:v>Sprint 4</x:v>
      </x:c>
      <x:c r="N64" s="28" t="n">
        <x:v>5</x:v>
      </x:c>
      <x:c r="O64" s="28" t="str">
        <x:v>VENUE-001, COMM-001</x:v>
      </x:c>
      <x:c r="P64" s="28" t="str">
        <x:v>Not Started</x:v>
      </x:c>
      <x:c r="Q64" s="28" t="str">
        <x:v>TC-063</x:v>
      </x:c>
      <x:c r="R64" s="28" t="str">
        <x:v>بررسی شود که MERCH-003 اجرا شده و معیار پذیرش آن برقرار است: کوپن فروشگاهی بدون تعهد پذیرش منتشر نشود.</x:v>
      </x:c>
      <x:c r="S64" s="28" t="str">
        <x:v>Generated from FRD v1.1</x:v>
      </x:c>
    </x:row>
    <x:row r="65">
      <x:c r="A65" s="28" t="str">
        <x:v>US-064</x:v>
      </x:c>
      <x:c r="B65" s="28" t="str">
        <x:v>EPIC-11</x:v>
      </x:c>
      <x:c r="C65" s="28" t="str">
        <x:v>Merchant Onboarding &amp; Dashboard</x:v>
      </x:c>
      <x:c r="D65" s="28" t="str">
        <x:v>MERCH</x:v>
      </x:c>
      <x:c r="E65" s="28" t="str">
        <x:v>MERCH-004</x:v>
      </x:c>
      <x:c r="F65" s="28" t="str">
        <x:v>CPL-01، CPL-14، CPL-15، CPL-20</x:v>
      </x:c>
      <x:c r="G65" s="28" t="str">
        <x:v>Merchant Owner / تیم فروش</x:v>
      </x:c>
      <x:c r="H65" s="28" t="str">
        <x:v>به‌عنوان Merchant Owner / تیم فروش می‌خواهم Merchant Dashboard باید اسکن، مراجعه، پاداش صادر/مصرف‌شده و قیف تبدیل مربوط به همان Merchant را نشان دهد. تا اجرای پایلوت و سنجش آن مطابق FRD v1.1 کنترل شود.</x:v>
      </x:c>
      <x:c r="I65" s="28" t="str">
        <x:v>Merchant داده سایر کسب‌وکارها را نبیند.</x:v>
      </x:c>
      <x:c r="J65" s="28" t="str">
        <x:v>P1</x:v>
      </x:c>
      <x:c r="K65" s="28" t="str">
        <x:v>Must</x:v>
      </x:c>
      <x:c r="L65" s="28" t="str">
        <x:v>MVP+MVCP</x:v>
      </x:c>
      <x:c r="M65" s="28" t="str">
        <x:v>Sprint 4</x:v>
      </x:c>
      <x:c r="N65" s="28" t="n">
        <x:v>8</x:v>
      </x:c>
      <x:c r="O65" s="28" t="str">
        <x:v>VENUE-001, COMM-001</x:v>
      </x:c>
      <x:c r="P65" s="28" t="str">
        <x:v>Not Started</x:v>
      </x:c>
      <x:c r="Q65" s="28" t="str">
        <x:v>TC-064</x:v>
      </x:c>
      <x:c r="R65" s="28" t="str">
        <x:v>بررسی شود که MERCH-004 اجرا شده و معیار پذیرش آن برقرار است: Merchant داده سایر کسب‌وکارها را نبیند.</x:v>
      </x:c>
      <x:c r="S65" s="28" t="str">
        <x:v>Generated from FRD v1.1</x:v>
      </x:c>
    </x:row>
    <x:row r="66">
      <x:c r="A66" s="28" t="str">
        <x:v>US-065</x:v>
      </x:c>
      <x:c r="B66" s="28" t="str">
        <x:v>EPIC-11</x:v>
      </x:c>
      <x:c r="C66" s="28" t="str">
        <x:v>Merchant Onboarding &amp; Dashboard</x:v>
      </x:c>
      <x:c r="D66" s="28" t="str">
        <x:v>MERCH</x:v>
      </x:c>
      <x:c r="E66" s="28" t="str">
        <x:v>MERCH-005</x:v>
      </x:c>
      <x:c r="F66" s="28" t="str">
        <x:v>CPL-01، CPL-14، CPL-15، CPL-20</x:v>
      </x:c>
      <x:c r="G66" s="28" t="str">
        <x:v>Merchant Owner / تیم فروش</x:v>
      </x:c>
      <x:c r="H66" s="28" t="str">
        <x:v>به‌عنوان Merchant Owner / تیم فروش می‌خواهم Sales Playbook و Offer Template برای مذاکره و تمدید قابل نگهداری باشد. تا اجرای پایلوت و سنجش آن مطابق FRD v1.1 کنترل شود.</x:v>
      </x:c>
      <x:c r="I66" s="28" t="str">
        <x:v>تیم فروش بتواند نمونه گزارش و پیشنهاد قیمت را استفاده کند.</x:v>
      </x:c>
      <x:c r="J66" s="28" t="str">
        <x:v>P2</x:v>
      </x:c>
      <x:c r="K66" s="28" t="str">
        <x:v>Should</x:v>
      </x:c>
      <x:c r="L66" s="28" t="str">
        <x:v>MVP+MVCP</x:v>
      </x:c>
      <x:c r="M66" s="28" t="str">
        <x:v>Sprint 4</x:v>
      </x:c>
      <x:c r="N66" s="28" t="n">
        <x:v>3</x:v>
      </x:c>
      <x:c r="O66" s="28" t="str">
        <x:v>VENUE-001, COMM-001</x:v>
      </x:c>
      <x:c r="P66" s="28" t="str">
        <x:v>Not Started</x:v>
      </x:c>
      <x:c r="Q66" s="28" t="str">
        <x:v>TC-065</x:v>
      </x:c>
      <x:c r="R66" s="28" t="str">
        <x:v>بررسی شود که MERCH-005 اجرا شده و معیار پذیرش آن برقرار است: تیم فروش بتواند نمونه گزارش و پیشنهاد قیمت را استفاده کند.</x:v>
      </x:c>
      <x:c r="S66" s="28" t="str">
        <x:v>Generated from FRD v1.1</x:v>
      </x:c>
    </x:row>
    <x:row r="67">
      <x:c r="A67" s="28" t="str">
        <x:v>US-066</x:v>
      </x:c>
      <x:c r="B67" s="28" t="str">
        <x:v>EPIC-11</x:v>
      </x:c>
      <x:c r="C67" s="28" t="str">
        <x:v>Merchant Onboarding &amp; Dashboard</x:v>
      </x:c>
      <x:c r="D67" s="28" t="str">
        <x:v>MERCH</x:v>
      </x:c>
      <x:c r="E67" s="28" t="str">
        <x:v>MERCH-006</x:v>
      </x:c>
      <x:c r="F67" s="28" t="str">
        <x:v>CPL-01، CPL-14، CPL-15، CPL-20</x:v>
      </x:c>
      <x:c r="G67" s="28" t="str">
        <x:v>Merchant Owner / تیم فروش</x:v>
      </x:c>
      <x:c r="H67" s="28" t="str">
        <x:v>به‌عنوان Merchant Owner / تیم فروش می‌خواهم فرایند تمدید/خروج Merchant پس از پایلوت بر اساس KPI و رضایت ثبت شود. تا اجرای پایلوت و سنجش آن مطابق FRD v1.1 کنترل شود.</x:v>
      </x:c>
      <x:c r="I67" s="28" t="str">
        <x:v>Merchant Decision در Closure Report دیده شود.</x:v>
      </x:c>
      <x:c r="J67" s="28" t="str">
        <x:v>P2</x:v>
      </x:c>
      <x:c r="K67" s="28" t="str">
        <x:v>Should</x:v>
      </x:c>
      <x:c r="L67" s="28" t="str">
        <x:v>MVP+MVCP</x:v>
      </x:c>
      <x:c r="M67" s="28" t="str">
        <x:v>Sprint 4</x:v>
      </x:c>
      <x:c r="N67" s="28" t="n">
        <x:v>3</x:v>
      </x:c>
      <x:c r="O67" s="28" t="str">
        <x:v>VENUE-001, COMM-001</x:v>
      </x:c>
      <x:c r="P67" s="28" t="str">
        <x:v>Not Started</x:v>
      </x:c>
      <x:c r="Q67" s="28" t="str">
        <x:v>TC-066</x:v>
      </x:c>
      <x:c r="R67" s="28" t="str">
        <x:v>بررسی شود که MERCH-006 اجرا شده و معیار پذیرش آن برقرار است: Merchant Decision در Closure Report دیده شود.</x:v>
      </x:c>
      <x:c r="S67" s="28" t="str">
        <x:v>Generated from FRD v1.1</x:v>
      </x:c>
    </x:row>
    <x:row r="68">
      <x:c r="A68" s="28" t="str">
        <x:v>US-067</x:v>
      </x:c>
      <x:c r="B68" s="28" t="str">
        <x:v>EPIC-12</x:v>
      </x:c>
      <x:c r="C68" s="28" t="str">
        <x:v>Commercial Agreements &amp; Settlement</x:v>
      </x:c>
      <x:c r="D68" s="28" t="str">
        <x:v>COMM</x:v>
      </x:c>
      <x:c r="E68" s="28" t="str">
        <x:v>COMM-001</x:v>
      </x:c>
      <x:c r="F68" s="28" t="str">
        <x:v>CPL-01، CPL-04، CPL-14، CPL-15، CPL-20</x:v>
      </x:c>
      <x:c r="G68" s="28" t="str">
        <x:v>Business Owner / Finance</x:v>
      </x:c>
      <x:c r="H68" s="28" t="str">
        <x:v>به‌عنوان Business Owner / Finance می‌خواهم برای هر پایلوت باید Commercial Agreement شامل طرفین، دوره، Revenue Stream و سهم‌ها قابل ثبت باشد. تا اجرای پایلوت و سنجش آن مطابق FRD v1.1 کنترل شود.</x:v>
      </x:c>
      <x:c r="I68" s="28" t="str">
        <x:v>پایلوت بدون قرارداد/توافق تجاری حداقلی Active نشود.</x:v>
      </x:c>
      <x:c r="J68" s="28" t="str">
        <x:v>P1</x:v>
      </x:c>
      <x:c r="K68" s="28" t="str">
        <x:v>Must</x:v>
      </x:c>
      <x:c r="L68" s="28" t="str">
        <x:v>MVCP</x:v>
      </x:c>
      <x:c r="M68" s="28" t="str">
        <x:v>Sprint 4</x:v>
      </x:c>
      <x:c r="N68" s="28" t="n">
        <x:v>5</x:v>
      </x:c>
      <x:c r="O68" s="28" t="str">
        <x:v>MERCH-001, PILOT-001</x:v>
      </x:c>
      <x:c r="P68" s="28" t="str">
        <x:v>Not Started</x:v>
      </x:c>
      <x:c r="Q68" s="28" t="str">
        <x:v>TC-067</x:v>
      </x:c>
      <x:c r="R68" s="28" t="str">
        <x:v>بررسی شود که COMM-001 اجرا شده و معیار پذیرش آن برقرار است: پایلوت بدون قرارداد/توافق تجاری حداقلی Active نشود.</x:v>
      </x:c>
      <x:c r="S68" s="28" t="str">
        <x:v>Generated from FRD v1.1</x:v>
      </x:c>
    </x:row>
    <x:row r="69">
      <x:c r="A69" s="28" t="str">
        <x:v>US-068</x:v>
      </x:c>
      <x:c r="B69" s="28" t="str">
        <x:v>EPIC-12</x:v>
      </x:c>
      <x:c r="C69" s="28" t="str">
        <x:v>Commercial Agreements &amp; Settlement</x:v>
      </x:c>
      <x:c r="D69" s="28" t="str">
        <x:v>COMM</x:v>
      </x:c>
      <x:c r="E69" s="28" t="str">
        <x:v>COMM-002</x:v>
      </x:c>
      <x:c r="F69" s="28" t="str">
        <x:v>CPL-01، CPL-04، CPL-14، CPL-15، CPL-20</x:v>
      </x:c>
      <x:c r="G69" s="28" t="str">
        <x:v>Business Owner / Finance</x:v>
      </x:c>
      <x:c r="H69" s="28" t="str">
        <x:v>به‌عنوان Business Owner / Finance می‌خواهم جریان‌های درآمد مانند Campaign Fee، Sponsored Mission، Media Display، Merchant Package و Analytics Report قابل طبقه‌بندی باشند. تا اجرای پایلوت و سنجش آن مطابق FRD v1.1 کنترل شود.</x:v>
      </x:c>
      <x:c r="I69" s="28" t="str">
        <x:v>گزارش مالی به تفکیک جریان درآمد تولید شود.</x:v>
      </x:c>
      <x:c r="J69" s="28" t="str">
        <x:v>P1</x:v>
      </x:c>
      <x:c r="K69" s="28" t="str">
        <x:v>Must</x:v>
      </x:c>
      <x:c r="L69" s="28" t="str">
        <x:v>MVCP</x:v>
      </x:c>
      <x:c r="M69" s="28" t="str">
        <x:v>Sprint 4</x:v>
      </x:c>
      <x:c r="N69" s="28" t="n">
        <x:v>5</x:v>
      </x:c>
      <x:c r="O69" s="28" t="str">
        <x:v>MERCH-001, PILOT-001</x:v>
      </x:c>
      <x:c r="P69" s="28" t="str">
        <x:v>Not Started</x:v>
      </x:c>
      <x:c r="Q69" s="28" t="str">
        <x:v>TC-068</x:v>
      </x:c>
      <x:c r="R69" s="28" t="str">
        <x:v>بررسی شود که COMM-002 اجرا شده و معیار پذیرش آن برقرار است: گزارش مالی به تفکیک جریان درآمد تولید شود.</x:v>
      </x:c>
      <x:c r="S69" s="28" t="str">
        <x:v>Generated from FRD v1.1</x:v>
      </x:c>
    </x:row>
    <x:row r="70">
      <x:c r="A70" s="28" t="str">
        <x:v>US-069</x:v>
      </x:c>
      <x:c r="B70" s="28" t="str">
        <x:v>EPIC-12</x:v>
      </x:c>
      <x:c r="C70" s="28" t="str">
        <x:v>Commercial Agreements &amp; Settlement</x:v>
      </x:c>
      <x:c r="D70" s="28" t="str">
        <x:v>COMM</x:v>
      </x:c>
      <x:c r="E70" s="28" t="str">
        <x:v>COMM-003</x:v>
      </x:c>
      <x:c r="F70" s="28" t="str">
        <x:v>CPL-01، CPL-04، CPL-14، CPL-15، CPL-20</x:v>
      </x:c>
      <x:c r="G70" s="28" t="str">
        <x:v>Business Owner / Finance</x:v>
      </x:c>
      <x:c r="H70" s="28" t="str">
        <x:v>به‌عنوان Business Owner / Finance می‌خواهم Settlement Record برای دوره تسویه، مبلغ، وضعیت و طرف دریافت‌کننده نگهداری شود. تا اجرای پایلوت و سنجش آن مطابق FRD v1.1 کنترل شود.</x:v>
      </x:c>
      <x:c r="I70" s="28" t="str">
        <x:v>تسویه‌های پایان پایلوت قابل پیگیری باشند.</x:v>
      </x:c>
      <x:c r="J70" s="28" t="str">
        <x:v>P2</x:v>
      </x:c>
      <x:c r="K70" s="28" t="str">
        <x:v>Should</x:v>
      </x:c>
      <x:c r="L70" s="28" t="str">
        <x:v>MVCP</x:v>
      </x:c>
      <x:c r="M70" s="28" t="str">
        <x:v>Sprint 4</x:v>
      </x:c>
      <x:c r="N70" s="28" t="n">
        <x:v>5</x:v>
      </x:c>
      <x:c r="O70" s="28" t="str">
        <x:v>MERCH-001, PILOT-001</x:v>
      </x:c>
      <x:c r="P70" s="28" t="str">
        <x:v>Not Started</x:v>
      </x:c>
      <x:c r="Q70" s="28" t="str">
        <x:v>TC-069</x:v>
      </x:c>
      <x:c r="R70" s="28" t="str">
        <x:v>بررسی شود که COMM-003 اجرا شده و معیار پذیرش آن برقرار است: تسویه‌های پایان پایلوت قابل پیگیری باشند.</x:v>
      </x:c>
      <x:c r="S70" s="28" t="str">
        <x:v>Generated from FRD v1.1</x:v>
      </x:c>
    </x:row>
    <x:row r="71">
      <x:c r="A71" s="28" t="str">
        <x:v>US-070</x:v>
      </x:c>
      <x:c r="B71" s="28" t="str">
        <x:v>EPIC-12</x:v>
      </x:c>
      <x:c r="C71" s="28" t="str">
        <x:v>Commercial Agreements &amp; Settlement</x:v>
      </x:c>
      <x:c r="D71" s="28" t="str">
        <x:v>COMM</x:v>
      </x:c>
      <x:c r="E71" s="28" t="str">
        <x:v>COMM-004</x:v>
      </x:c>
      <x:c r="F71" s="28" t="str">
        <x:v>CPL-01، CPL-04، CPL-14، CPL-15، CPL-20</x:v>
      </x:c>
      <x:c r="G71" s="28" t="str">
        <x:v>Business Owner / Finance</x:v>
      </x:c>
      <x:c r="H71" s="28" t="str">
        <x:v>به‌عنوان Business Owner / Finance می‌خواهم Unit Economics پایه مثل Cost per Scan/User/Mission و Value per Merchant Lead قابل ثبت/محاسبه باشد. تا اجرای پایلوت و سنجش آن مطابق FRD v1.1 کنترل شود.</x:v>
      </x:c>
      <x:c r="I71" s="28" t="str">
        <x:v>گزارش هیئت‌مدیره شامل شاخص اقتصادی باشد.</x:v>
      </x:c>
      <x:c r="J71" s="28" t="str">
        <x:v>P2</x:v>
      </x:c>
      <x:c r="K71" s="28" t="str">
        <x:v>Should</x:v>
      </x:c>
      <x:c r="L71" s="28" t="str">
        <x:v>MVCP</x:v>
      </x:c>
      <x:c r="M71" s="28" t="str">
        <x:v>Sprint 4</x:v>
      </x:c>
      <x:c r="N71" s="28" t="n">
        <x:v>3</x:v>
      </x:c>
      <x:c r="O71" s="28" t="str">
        <x:v>MERCH-001, PILOT-001</x:v>
      </x:c>
      <x:c r="P71" s="28" t="str">
        <x:v>Not Started</x:v>
      </x:c>
      <x:c r="Q71" s="28" t="str">
        <x:v>TC-070</x:v>
      </x:c>
      <x:c r="R71" s="28" t="str">
        <x:v>بررسی شود که COMM-004 اجرا شده و معیار پذیرش آن برقرار است: گزارش هیئت‌مدیره شامل شاخص اقتصادی باشد.</x:v>
      </x:c>
      <x:c r="S71" s="28" t="str">
        <x:v>Generated from FRD v1.1</x:v>
      </x:c>
    </x:row>
    <x:row r="72">
      <x:c r="A72" s="28" t="str">
        <x:v>US-071</x:v>
      </x:c>
      <x:c r="B72" s="28" t="str">
        <x:v>EPIC-12</x:v>
      </x:c>
      <x:c r="C72" s="28" t="str">
        <x:v>Commercial Agreements &amp; Settlement</x:v>
      </x:c>
      <x:c r="D72" s="28" t="str">
        <x:v>COMM</x:v>
      </x:c>
      <x:c r="E72" s="28" t="str">
        <x:v>COMM-005</x:v>
      </x:c>
      <x:c r="F72" s="28" t="str">
        <x:v>CPL-01، CPL-04، CPL-14، CPL-15، CPL-20</x:v>
      </x:c>
      <x:c r="G72" s="28" t="str">
        <x:v>Business Owner / Finance</x:v>
      </x:c>
      <x:c r="H72" s="28" t="str">
        <x:v>به‌عنوان Business Owner / Finance می‌خواهم قیمت‌گذاری پکیج‌ها و اسپانسرینگ در نسخه بعد به CRM/Finance متصل شود. تا اجرای پایلوت و سنجش آن مطابق FRD v1.1 کنترل شود.</x:v>
      </x:c>
      <x:c r="I72" s="28" t="str">
        <x:v>ساختار داده قابل توسعه باشد.</x:v>
      </x:c>
      <x:c r="J72" s="28" t="str">
        <x:v>P3</x:v>
      </x:c>
      <x:c r="K72" s="28" t="str">
        <x:v>Could</x:v>
      </x:c>
      <x:c r="L72" s="28" t="str">
        <x:v>MVCP</x:v>
      </x:c>
      <x:c r="M72" s="28" t="str">
        <x:v>Sprint 4</x:v>
      </x:c>
      <x:c r="N72" s="28" t="n">
        <x:v>2</x:v>
      </x:c>
      <x:c r="O72" s="28" t="str">
        <x:v>MERCH-001, PILOT-001</x:v>
      </x:c>
      <x:c r="P72" s="28" t="str">
        <x:v>Not Started</x:v>
      </x:c>
      <x:c r="Q72" s="28" t="str">
        <x:v>TC-071</x:v>
      </x:c>
      <x:c r="R72" s="28" t="str">
        <x:v>بررسی شود که COMM-005 اجرا شده و معیار پذیرش آن برقرار است: ساختار داده قابل توسعه باشد.</x:v>
      </x:c>
      <x:c r="S72" s="28" t="str">
        <x:v>Generated from FRD v1.1</x:v>
      </x:c>
    </x:row>
    <x:row r="73">
      <x:c r="A73" s="28" t="str">
        <x:v>US-072</x:v>
      </x:c>
      <x:c r="B73" s="28" t="str">
        <x:v>EPIC-13</x:v>
      </x:c>
      <x:c r="C73" s="28" t="str">
        <x:v>Event Tracking &amp; Data Dictionary</x:v>
      </x:c>
      <x:c r="D73" s="28" t="str">
        <x:v>EVENT</x:v>
      </x:c>
      <x:c r="E73" s="28" t="str">
        <x:v>EVENT-001</x:v>
      </x:c>
      <x:c r="F73" s="28" t="str">
        <x:v>CPL-03، CPL-19، CPL-20</x:v>
      </x:c>
      <x:c r="G73" s="28" t="str">
        <x:v>سیستم / Analyst</x:v>
      </x:c>
      <x:c r="H73" s="28" t="str">
        <x:v>به‌عنوان سیستم / Analyst می‌خواهم سیستم باید رویدادهای اصلی qr_scanned، user_registered، mission_started، mission_completed، reward_issued، reward_redeemed، feedback_submitted را ثبت کند. تا اجرای پایلوت و سنجش آن مطابق FRD v1.1 کنترل شود.</x:v>
      </x:c>
      <x:c r="I73" s="28" t="str">
        <x:v>هر رویداد با timestamp و source تولید شود.</x:v>
      </x:c>
      <x:c r="J73" s="28" t="str">
        <x:v>P0</x:v>
      </x:c>
      <x:c r="K73" s="28" t="str">
        <x:v>Must</x:v>
      </x:c>
      <x:c r="L73" s="28" t="str">
        <x:v>MVP+MVCP</x:v>
      </x:c>
      <x:c r="M73" s="28" t="str">
        <x:v>Sprint 2</x:v>
      </x:c>
      <x:c r="N73" s="28" t="n">
        <x:v>8</x:v>
      </x:c>
      <x:c r="O73" s="28" t="str">
        <x:v>REL-001</x:v>
      </x:c>
      <x:c r="P73" s="28" t="str">
        <x:v>Not Started</x:v>
      </x:c>
      <x:c r="Q73" s="28" t="str">
        <x:v>TC-072</x:v>
      </x:c>
      <x:c r="R73" s="28" t="str">
        <x:v>بررسی شود که EVENT-001 اجرا شده و معیار پذیرش آن برقرار است: هر رویداد با timestamp و source تولید شود.</x:v>
      </x:c>
      <x:c r="S73" s="28" t="str">
        <x:v>Generated from FRD v1.1</x:v>
      </x:c>
    </x:row>
    <x:row r="74">
      <x:c r="A74" s="28" t="str">
        <x:v>US-073</x:v>
      </x:c>
      <x:c r="B74" s="28" t="str">
        <x:v>EPIC-13</x:v>
      </x:c>
      <x:c r="C74" s="28" t="str">
        <x:v>Event Tracking &amp; Data Dictionary</x:v>
      </x:c>
      <x:c r="D74" s="28" t="str">
        <x:v>EVENT</x:v>
      </x:c>
      <x:c r="E74" s="28" t="str">
        <x:v>EVENT-002</x:v>
      </x:c>
      <x:c r="F74" s="28" t="str">
        <x:v>CPL-03، CPL-19، CPL-20</x:v>
      </x:c>
      <x:c r="G74" s="28" t="str">
        <x:v>سیستم / Analyst</x:v>
      </x:c>
      <x:c r="H74" s="28" t="str">
        <x:v>به‌عنوان سیستم / Analyst می‌خواهم هر رویداد باید تا حد امکان به Venue، Zone، Hub، Touchpoint، Campaign و Merchant متصل باشد. تا اجرای پایلوت و سنجش آن مطابق FRD v1.1 کنترل شود.</x:v>
      </x:c>
      <x:c r="I74" s="28" t="str">
        <x:v>رویداد بدون اتصال ضروری Quality Flag بگیرد.</x:v>
      </x:c>
      <x:c r="J74" s="28" t="str">
        <x:v>P0</x:v>
      </x:c>
      <x:c r="K74" s="28" t="str">
        <x:v>Must</x:v>
      </x:c>
      <x:c r="L74" s="28" t="str">
        <x:v>MVP+MVCP</x:v>
      </x:c>
      <x:c r="M74" s="28" t="str">
        <x:v>Sprint 2</x:v>
      </x:c>
      <x:c r="N74" s="28" t="n">
        <x:v>8</x:v>
      </x:c>
      <x:c r="O74" s="28" t="str">
        <x:v>REL-001</x:v>
      </x:c>
      <x:c r="P74" s="28" t="str">
        <x:v>Not Started</x:v>
      </x:c>
      <x:c r="Q74" s="28" t="str">
        <x:v>TC-073</x:v>
      </x:c>
      <x:c r="R74" s="28" t="str">
        <x:v>بررسی شود که EVENT-002 اجرا شده و معیار پذیرش آن برقرار است: رویداد بدون اتصال ضروری Quality Flag بگیرد.</x:v>
      </x:c>
      <x:c r="S74" s="28" t="str">
        <x:v>Generated from FRD v1.1</x:v>
      </x:c>
    </x:row>
    <x:row r="75">
      <x:c r="A75" s="28" t="str">
        <x:v>US-074</x:v>
      </x:c>
      <x:c r="B75" s="28" t="str">
        <x:v>EPIC-13</x:v>
      </x:c>
      <x:c r="C75" s="28" t="str">
        <x:v>Event Tracking &amp; Data Dictionary</x:v>
      </x:c>
      <x:c r="D75" s="28" t="str">
        <x:v>EVENT</x:v>
      </x:c>
      <x:c r="E75" s="28" t="str">
        <x:v>EVENT-003</x:v>
      </x:c>
      <x:c r="F75" s="28" t="str">
        <x:v>CPL-03، CPL-19، CPL-20</x:v>
      </x:c>
      <x:c r="G75" s="28" t="str">
        <x:v>سیستم / Analyst</x:v>
      </x:c>
      <x:c r="H75" s="28" t="str">
        <x:v>به‌عنوان سیستم / Analyst می‌خواهم Data Dictionary باید تعریف، فیلدها، نوع داده و مالک هر رویداد را نگهداری کند. تا اجرای پایلوت و سنجش آن مطابق FRD v1.1 کنترل شود.</x:v>
      </x:c>
      <x:c r="I75" s="28" t="str">
        <x:v>تیم توسعه و تحلیل از تعریف واحد استفاده کنند.</x:v>
      </x:c>
      <x:c r="J75" s="28" t="str">
        <x:v>P0</x:v>
      </x:c>
      <x:c r="K75" s="28" t="str">
        <x:v>Must</x:v>
      </x:c>
      <x:c r="L75" s="28" t="str">
        <x:v>MVP+MVCP</x:v>
      </x:c>
      <x:c r="M75" s="28" t="str">
        <x:v>Sprint 2</x:v>
      </x:c>
      <x:c r="N75" s="28" t="n">
        <x:v>8</x:v>
      </x:c>
      <x:c r="O75" s="28" t="str">
        <x:v>REL-001</x:v>
      </x:c>
      <x:c r="P75" s="28" t="str">
        <x:v>Not Started</x:v>
      </x:c>
      <x:c r="Q75" s="28" t="str">
        <x:v>TC-074</x:v>
      </x:c>
      <x:c r="R75" s="28" t="str">
        <x:v>بررسی شود که EVENT-003 اجرا شده و معیار پذیرش آن برقرار است: تیم توسعه و تحلیل از تعریف واحد استفاده کنند.</x:v>
      </x:c>
      <x:c r="S75" s="28" t="str">
        <x:v>Generated from FRD v1.1</x:v>
      </x:c>
    </x:row>
    <x:row r="76">
      <x:c r="A76" s="28" t="str">
        <x:v>US-075</x:v>
      </x:c>
      <x:c r="B76" s="28" t="str">
        <x:v>EPIC-13</x:v>
      </x:c>
      <x:c r="C76" s="28" t="str">
        <x:v>Event Tracking &amp; Data Dictionary</x:v>
      </x:c>
      <x:c r="D76" s="28" t="str">
        <x:v>EVENT</x:v>
      </x:c>
      <x:c r="E76" s="28" t="str">
        <x:v>EVENT-004</x:v>
      </x:c>
      <x:c r="F76" s="28" t="str">
        <x:v>CPL-03، CPL-19، CPL-20</x:v>
      </x:c>
      <x:c r="G76" s="28" t="str">
        <x:v>سیستم / Analyst</x:v>
      </x:c>
      <x:c r="H76" s="28" t="str">
        <x:v>به‌عنوان سیستم / Analyst می‌خواهم رویدادهای ambassador_interaction_logged، media_interaction_logged، incident_logged و offline_sync_completed در MVCP پشتیبانی شوند. تا اجرای پایلوت و سنجش آن مطابق FRD v1.1 کنترل شود.</x:v>
      </x:c>
      <x:c r="I76" s="28" t="str">
        <x:v>گزارش میدانی و رسانه‌ای تقویت شود.</x:v>
      </x:c>
      <x:c r="J76" s="28" t="str">
        <x:v>P2</x:v>
      </x:c>
      <x:c r="K76" s="28" t="str">
        <x:v>Should</x:v>
      </x:c>
      <x:c r="L76" s="28" t="str">
        <x:v>MVP+MVCP</x:v>
      </x:c>
      <x:c r="M76" s="28" t="str">
        <x:v>Sprint 2</x:v>
      </x:c>
      <x:c r="N76" s="28" t="n">
        <x:v>8</x:v>
      </x:c>
      <x:c r="O76" s="28" t="str">
        <x:v>REL-001</x:v>
      </x:c>
      <x:c r="P76" s="28" t="str">
        <x:v>Not Started</x:v>
      </x:c>
      <x:c r="Q76" s="28" t="str">
        <x:v>TC-075</x:v>
      </x:c>
      <x:c r="R76" s="28" t="str">
        <x:v>بررسی شود که EVENT-004 اجرا شده و معیار پذیرش آن برقرار است: گزارش میدانی و رسانه‌ای تقویت شود.</x:v>
      </x:c>
      <x:c r="S76" s="28" t="str">
        <x:v>Generated from FRD v1.1</x:v>
      </x:c>
    </x:row>
    <x:row r="77">
      <x:c r="A77" s="28" t="str">
        <x:v>US-076</x:v>
      </x:c>
      <x:c r="B77" s="28" t="str">
        <x:v>EPIC-13</x:v>
      </x:c>
      <x:c r="C77" s="28" t="str">
        <x:v>Event Tracking &amp; Data Dictionary</x:v>
      </x:c>
      <x:c r="D77" s="28" t="str">
        <x:v>EVENT</x:v>
      </x:c>
      <x:c r="E77" s="28" t="str">
        <x:v>EVENT-005</x:v>
      </x:c>
      <x:c r="F77" s="28" t="str">
        <x:v>CPL-03، CPL-19، CPL-20</x:v>
      </x:c>
      <x:c r="G77" s="28" t="str">
        <x:v>سیستم / Analyst</x:v>
      </x:c>
      <x:c r="H77" s="28" t="str">
        <x:v>به‌عنوان سیستم / Analyst می‌خواهم سیستم باید رویدادهای ناقص، تکراری یا مشکوک را علامت‌گذاری کند. تا اجرای پایلوت و سنجش آن مطابق FRD v1.1 کنترل شود.</x:v>
      </x:c>
      <x:c r="I77" s="28" t="str">
        <x:v>Analytics بتواند کیفیت داده را گزارش کند.</x:v>
      </x:c>
      <x:c r="J77" s="28" t="str">
        <x:v>P2</x:v>
      </x:c>
      <x:c r="K77" s="28" t="str">
        <x:v>Should</x:v>
      </x:c>
      <x:c r="L77" s="28" t="str">
        <x:v>MVP+MVCP</x:v>
      </x:c>
      <x:c r="M77" s="28" t="str">
        <x:v>Sprint 2</x:v>
      </x:c>
      <x:c r="N77" s="28" t="n">
        <x:v>8</x:v>
      </x:c>
      <x:c r="O77" s="28" t="str">
        <x:v>REL-001</x:v>
      </x:c>
      <x:c r="P77" s="28" t="str">
        <x:v>Not Started</x:v>
      </x:c>
      <x:c r="Q77" s="28" t="str">
        <x:v>TC-076</x:v>
      </x:c>
      <x:c r="R77" s="28" t="str">
        <x:v>بررسی شود که EVENT-005 اجرا شده و معیار پذیرش آن برقرار است: Analytics بتواند کیفیت داده را گزارش کند.</x:v>
      </x:c>
      <x:c r="S77" s="28" t="str">
        <x:v>Generated from FRD v1.1</x:v>
      </x:c>
    </x:row>
    <x:row r="78">
      <x:c r="A78" s="28" t="str">
        <x:v>US-077</x:v>
      </x:c>
      <x:c r="B78" s="28" t="str">
        <x:v>EPIC-14</x:v>
      </x:c>
      <x:c r="C78" s="28" t="str">
        <x:v>Analytics, Attribution &amp; Decision Gate</x:v>
      </x:c>
      <x:c r="D78" s="28" t="str">
        <x:v>ANALYTICS</x:v>
      </x:c>
      <x:c r="E78" s="28" t="str">
        <x:v>ANALYTICS-001</x:v>
      </x:c>
      <x:c r="F78" s="28" t="str">
        <x:v>CPL-03، CPL-04، CPL-19، CPL-20، CPL-25</x:v>
      </x:c>
      <x:c r="G78" s="28" t="str">
        <x:v>Pilot Manager / هیئت‌مدیره</x:v>
      </x:c>
      <x:c r="H78" s="28" t="str">
        <x:v>به‌عنوان Pilot Manager / هیئت‌مدیره می‌خواهم Admin Dashboard باید KPIهای اصلی پایلوت را روزانه نمایش دهد. تا اجرای پایلوت و سنجش آن مطابق FRD v1.1 کنترل شود.</x:v>
      </x:c>
      <x:c r="I78" s="28" t="str">
        <x:v>اسکن، ثبت‌نام، کاربران فعال، مأموریت کامل، پاداش مصرف‌شده و خطاها دیده شوند.</x:v>
      </x:c>
      <x:c r="J78" s="28" t="str">
        <x:v>P0</x:v>
      </x:c>
      <x:c r="K78" s="28" t="str">
        <x:v>Must</x:v>
      </x:c>
      <x:c r="L78" s="28" t="str">
        <x:v>MVP+MVCP</x:v>
      </x:c>
      <x:c r="M78" s="28" t="str">
        <x:v>Sprint 5</x:v>
      </x:c>
      <x:c r="N78" s="28" t="n">
        <x:v>13</x:v>
      </x:c>
      <x:c r="O78" s="28" t="str">
        <x:v>EVENT-001..003, KPI definitions</x:v>
      </x:c>
      <x:c r="P78" s="28" t="str">
        <x:v>Not Started</x:v>
      </x:c>
      <x:c r="Q78" s="28" t="str">
        <x:v>TC-077</x:v>
      </x:c>
      <x:c r="R78" s="28" t="str">
        <x:v>بررسی شود که ANALYTICS-001 اجرا شده و معیار پذیرش آن برقرار است: اسکن، ثبت‌نام، کاربران فعال، مأموریت کامل، پاداش مصرف‌شده و خطاها دیده شوند.</x:v>
      </x:c>
      <x:c r="S78" s="28" t="str">
        <x:v>Generated from FRD v1.1</x:v>
      </x:c>
    </x:row>
    <x:row r="79">
      <x:c r="A79" s="28" t="str">
        <x:v>US-078</x:v>
      </x:c>
      <x:c r="B79" s="28" t="str">
        <x:v>EPIC-14</x:v>
      </x:c>
      <x:c r="C79" s="28" t="str">
        <x:v>Analytics, Attribution &amp; Decision Gate</x:v>
      </x:c>
      <x:c r="D79" s="28" t="str">
        <x:v>ANALYTICS</x:v>
      </x:c>
      <x:c r="E79" s="28" t="str">
        <x:v>ANALYTICS-002</x:v>
      </x:c>
      <x:c r="F79" s="28" t="str">
        <x:v>CPL-03، CPL-04، CPL-19، CPL-20، CPL-25</x:v>
      </x:c>
      <x:c r="G79" s="28" t="str">
        <x:v>Pilot Manager / هیئت‌مدیره</x:v>
      </x:c>
      <x:c r="H79" s="28" t="str">
        <x:v>به‌عنوان Pilot Manager / هیئت‌مدیره می‌خواهم قیف تبدیل Scan -&gt; Registration -&gt; Mission Start -&gt; Mission Complete -&gt; Reward Redeem باید قابل محاسبه باشد. تا اجرای پایلوت و سنجش آن مطابق FRD v1.1 کنترل شود.</x:v>
      </x:c>
      <x:c r="I79" s="28" t="str">
        <x:v>افت هر مرحله قابل مشاهده باشد.</x:v>
      </x:c>
      <x:c r="J79" s="28" t="str">
        <x:v>P0</x:v>
      </x:c>
      <x:c r="K79" s="28" t="str">
        <x:v>Must</x:v>
      </x:c>
      <x:c r="L79" s="28" t="str">
        <x:v>MVP+MVCP</x:v>
      </x:c>
      <x:c r="M79" s="28" t="str">
        <x:v>Sprint 5</x:v>
      </x:c>
      <x:c r="N79" s="28" t="n">
        <x:v>8</x:v>
      </x:c>
      <x:c r="O79" s="28" t="str">
        <x:v>EVENT-001..003, KPI definitions</x:v>
      </x:c>
      <x:c r="P79" s="28" t="str">
        <x:v>Not Started</x:v>
      </x:c>
      <x:c r="Q79" s="28" t="str">
        <x:v>TC-078</x:v>
      </x:c>
      <x:c r="R79" s="28" t="str">
        <x:v>بررسی شود که ANALYTICS-002 اجرا شده و معیار پذیرش آن برقرار است: افت هر مرحله قابل مشاهده باشد.</x:v>
      </x:c>
      <x:c r="S79" s="28" t="str">
        <x:v>Generated from FRD v1.1</x:v>
      </x:c>
    </x:row>
    <x:row r="80">
      <x:c r="A80" s="28" t="str">
        <x:v>US-079</x:v>
      </x:c>
      <x:c r="B80" s="28" t="str">
        <x:v>EPIC-14</x:v>
      </x:c>
      <x:c r="C80" s="28" t="str">
        <x:v>Analytics, Attribution &amp; Decision Gate</x:v>
      </x:c>
      <x:c r="D80" s="28" t="str">
        <x:v>ANALYTICS</x:v>
      </x:c>
      <x:c r="E80" s="28" t="str">
        <x:v>ANALYTICS-003</x:v>
      </x:c>
      <x:c r="F80" s="28" t="str">
        <x:v>CPL-03، CPL-04، CPL-19، CPL-20، CPL-25</x:v>
      </x:c>
      <x:c r="G80" s="28" t="str">
        <x:v>Pilot Manager / هیئت‌مدیره</x:v>
      </x:c>
      <x:c r="H80" s="28" t="str">
        <x:v>به‌عنوان Pilot Manager / هیئت‌مدیره می‌خواهم Attribution Report باید اثر QR/Media/Campaign/Touchpoint/Merchant را تفکیک کند. تا اجرای پایلوت و سنجش آن مطابق FRD v1.1 کنترل شود.</x:v>
      </x:c>
      <x:c r="I80" s="28" t="str">
        <x:v>ارزش مالی و عملیاتی به منبع درست نسبت داده شود.</x:v>
      </x:c>
      <x:c r="J80" s="28" t="str">
        <x:v>P0</x:v>
      </x:c>
      <x:c r="K80" s="28" t="str">
        <x:v>Must</x:v>
      </x:c>
      <x:c r="L80" s="28" t="str">
        <x:v>MVP+MVCP</x:v>
      </x:c>
      <x:c r="M80" s="28" t="str">
        <x:v>Sprint 5</x:v>
      </x:c>
      <x:c r="N80" s="28" t="n">
        <x:v>13</x:v>
      </x:c>
      <x:c r="O80" s="28" t="str">
        <x:v>EVENT-001..003, KPI definitions</x:v>
      </x:c>
      <x:c r="P80" s="28" t="str">
        <x:v>Not Started</x:v>
      </x:c>
      <x:c r="Q80" s="28" t="str">
        <x:v>TC-079</x:v>
      </x:c>
      <x:c r="R80" s="28" t="str">
        <x:v>بررسی شود که ANALYTICS-003 اجرا شده و معیار پذیرش آن برقرار است: ارزش مالی و عملیاتی به منبع درست نسبت داده شود.</x:v>
      </x:c>
      <x:c r="S80" s="28" t="str">
        <x:v>Generated from FRD v1.1</x:v>
      </x:c>
    </x:row>
    <x:row r="81">
      <x:c r="A81" s="28" t="str">
        <x:v>US-080</x:v>
      </x:c>
      <x:c r="B81" s="28" t="str">
        <x:v>EPIC-14</x:v>
      </x:c>
      <x:c r="C81" s="28" t="str">
        <x:v>Analytics, Attribution &amp; Decision Gate</x:v>
      </x:c>
      <x:c r="D81" s="28" t="str">
        <x:v>ANALYTICS</x:v>
      </x:c>
      <x:c r="E81" s="28" t="str">
        <x:v>ANALYTICS-004</x:v>
      </x:c>
      <x:c r="F81" s="28" t="str">
        <x:v>CPL-03، CPL-04، CPL-19، CPL-20، CPL-25</x:v>
      </x:c>
      <x:c r="G81" s="28" t="str">
        <x:v>Pilot Manager / هیئت‌مدیره</x:v>
      </x:c>
      <x:c r="H81" s="28" t="str">
        <x:v>به‌عنوان Pilot Manager / هیئت‌مدیره می‌خواهم Board Decision Gate باید تحقق KPI را به سه وضعیت توسعه، بهینه‌سازی/تکرار یا توقف تبدیل کند. تا اجرای پایلوت و سنجش آن مطابق FRD v1.1 کنترل شود.</x:v>
      </x:c>
      <x:c r="I81" s="28" t="str">
        <x:v>گزارش نهایی شامل منطق تصمیم باشد.</x:v>
      </x:c>
      <x:c r="J81" s="28" t="str">
        <x:v>P0</x:v>
      </x:c>
      <x:c r="K81" s="28" t="str">
        <x:v>Must</x:v>
      </x:c>
      <x:c r="L81" s="28" t="str">
        <x:v>MVP+MVCP</x:v>
      </x:c>
      <x:c r="M81" s="28" t="str">
        <x:v>Sprint 5</x:v>
      </x:c>
      <x:c r="N81" s="28" t="n">
        <x:v>13</x:v>
      </x:c>
      <x:c r="O81" s="28" t="str">
        <x:v>EVENT-001..003, KPI definitions</x:v>
      </x:c>
      <x:c r="P81" s="28" t="str">
        <x:v>Not Started</x:v>
      </x:c>
      <x:c r="Q81" s="28" t="str">
        <x:v>TC-080</x:v>
      </x:c>
      <x:c r="R81" s="28" t="str">
        <x:v>بررسی شود که ANALYTICS-004 اجرا شده و معیار پذیرش آن برقرار است: گزارش نهایی شامل منطق تصمیم باشد.</x:v>
      </x:c>
      <x:c r="S81" s="28" t="str">
        <x:v>Generated from FRD v1.1</x:v>
      </x:c>
    </x:row>
    <x:row r="82">
      <x:c r="A82" s="28" t="str">
        <x:v>US-081</x:v>
      </x:c>
      <x:c r="B82" s="28" t="str">
        <x:v>EPIC-14</x:v>
      </x:c>
      <x:c r="C82" s="28" t="str">
        <x:v>Analytics, Attribution &amp; Decision Gate</x:v>
      </x:c>
      <x:c r="D82" s="28" t="str">
        <x:v>ANALYTICS</x:v>
      </x:c>
      <x:c r="E82" s="28" t="str">
        <x:v>ANALYTICS-005</x:v>
      </x:c>
      <x:c r="F82" s="28" t="str">
        <x:v>CPL-03، CPL-04، CPL-19، CPL-20، CPL-25</x:v>
      </x:c>
      <x:c r="G82" s="28" t="str">
        <x:v>Pilot Manager / هیئت‌مدیره</x:v>
      </x:c>
      <x:c r="H82" s="28" t="str">
        <x:v>به‌عنوان Pilot Manager / هیئت‌مدیره می‌خواهم Unit Economics و ROI پایه در گزارش نهایی محاسبه شود. تا اجرای پایلوت و سنجش آن مطابق FRD v1.1 کنترل شود.</x:v>
      </x:c>
      <x:c r="I82" s="28" t="str">
        <x:v>Cost per Scan/User/Mission و Value per Lead دیده شود.</x:v>
      </x:c>
      <x:c r="J82" s="28" t="str">
        <x:v>P1</x:v>
      </x:c>
      <x:c r="K82" s="28" t="str">
        <x:v>Should</x:v>
      </x:c>
      <x:c r="L82" s="28" t="str">
        <x:v>MVP+MVCP</x:v>
      </x:c>
      <x:c r="M82" s="28" t="str">
        <x:v>Sprint 5</x:v>
      </x:c>
      <x:c r="N82" s="28" t="n">
        <x:v>8</x:v>
      </x:c>
      <x:c r="O82" s="28" t="str">
        <x:v>EVENT-001..003, KPI definitions</x:v>
      </x:c>
      <x:c r="P82" s="28" t="str">
        <x:v>Not Started</x:v>
      </x:c>
      <x:c r="Q82" s="28" t="str">
        <x:v>TC-081</x:v>
      </x:c>
      <x:c r="R82" s="28" t="str">
        <x:v>بررسی شود که ANALYTICS-005 اجرا شده و معیار پذیرش آن برقرار است: Cost per Scan/User/Mission و Value per Lead دیده شود.</x:v>
      </x:c>
      <x:c r="S82" s="28" t="str">
        <x:v>Generated from FRD v1.1</x:v>
      </x:c>
    </x:row>
    <x:row r="83">
      <x:c r="A83" s="28" t="str">
        <x:v>US-082</x:v>
      </x:c>
      <x:c r="B83" s="28" t="str">
        <x:v>EPIC-14</x:v>
      </x:c>
      <x:c r="C83" s="28" t="str">
        <x:v>Analytics, Attribution &amp; Decision Gate</x:v>
      </x:c>
      <x:c r="D83" s="28" t="str">
        <x:v>ANALYTICS</x:v>
      </x:c>
      <x:c r="E83" s="28" t="str">
        <x:v>ANALYTICS-006</x:v>
      </x:c>
      <x:c r="F83" s="28" t="str">
        <x:v>CPL-03، CPL-04، CPL-19، CPL-20، CPL-25</x:v>
      </x:c>
      <x:c r="G83" s="28" t="str">
        <x:v>Pilot Manager / هیئت‌مدیره</x:v>
      </x:c>
      <x:c r="H83" s="28" t="str">
        <x:v>به‌عنوان Pilot Manager / هیئت‌مدیره می‌خواهم Merchant و Sponsor فقط گزارش مرتبط با خود را ببینند. تا اجرای پایلوت و سنجش آن مطابق FRD v1.1 کنترل شود.</x:v>
      </x:c>
      <x:c r="I83" s="28" t="str">
        <x:v>حریم داده و قرارداد رعایت شود.</x:v>
      </x:c>
      <x:c r="J83" s="28" t="str">
        <x:v>P1</x:v>
      </x:c>
      <x:c r="K83" s="28" t="str">
        <x:v>Should</x:v>
      </x:c>
      <x:c r="L83" s="28" t="str">
        <x:v>MVP+MVCP</x:v>
      </x:c>
      <x:c r="M83" s="28" t="str">
        <x:v>Sprint 5</x:v>
      </x:c>
      <x:c r="N83" s="28" t="n">
        <x:v>8</x:v>
      </x:c>
      <x:c r="O83" s="28" t="str">
        <x:v>EVENT-001..003, KPI definitions</x:v>
      </x:c>
      <x:c r="P83" s="28" t="str">
        <x:v>Not Started</x:v>
      </x:c>
      <x:c r="Q83" s="28" t="str">
        <x:v>TC-082</x:v>
      </x:c>
      <x:c r="R83" s="28" t="str">
        <x:v>بررسی شود که ANALYTICS-006 اجرا شده و معیار پذیرش آن برقرار است: حریم داده و قرارداد رعایت شود.</x:v>
      </x:c>
      <x:c r="S83" s="28" t="str">
        <x:v>Generated from FRD v1.1</x:v>
      </x:c>
    </x:row>
    <x:row r="84">
      <x:c r="A84" s="28" t="str">
        <x:v>US-083</x:v>
      </x:c>
      <x:c r="B84" s="28" t="str">
        <x:v>EPIC-15</x:v>
      </x:c>
      <x:c r="C84" s="28" t="str">
        <x:v>Admin Governance, RACI &amp; Permissions</x:v>
      </x:c>
      <x:c r="D84" s="28" t="str">
        <x:v>ADMIN</x:v>
      </x:c>
      <x:c r="E84" s="28" t="str">
        <x:v>ADMIN-001</x:v>
      </x:c>
      <x:c r="F84" s="28" t="str">
        <x:v>CPL-02، CPL-17، CPL-18، CPL-26</x:v>
      </x:c>
      <x:c r="G84" s="28" t="str">
        <x:v>Super Admin / Venue Admin</x:v>
      </x:c>
      <x:c r="H84" s="28" t="str">
        <x:v>به‌عنوان Super Admin / Venue Admin می‌خواهم سیستم باید نقش‌ها و دسترسی‌های متفاوت برای Admin، Venue، Merchant، Support و Analyst داشته باشد. تا اجرای پایلوت و سنجش آن مطابق FRD v1.1 کنترل شود.</x:v>
      </x:c>
      <x:c r="I84" s="28" t="str">
        <x:v>هر نقش فقط امکانات مجاز را ببیند.</x:v>
      </x:c>
      <x:c r="J84" s="28" t="str">
        <x:v>P0</x:v>
      </x:c>
      <x:c r="K84" s="28" t="str">
        <x:v>Must</x:v>
      </x:c>
      <x:c r="L84" s="28" t="str">
        <x:v>MVP</x:v>
      </x:c>
      <x:c r="M84" s="28" t="str">
        <x:v>Sprint 4</x:v>
      </x:c>
      <x:c r="N84" s="28" t="n">
        <x:v>5</x:v>
      </x:c>
      <x:c r="O84" s="28" t="str">
        <x:v>REL-003, DATA-001</x:v>
      </x:c>
      <x:c r="P84" s="28" t="str">
        <x:v>Not Started</x:v>
      </x:c>
      <x:c r="Q84" s="28" t="str">
        <x:v>TC-083</x:v>
      </x:c>
      <x:c r="R84" s="28" t="str">
        <x:v>بررسی شود که ADMIN-001 اجرا شده و معیار پذیرش آن برقرار است: هر نقش فقط امکانات مجاز را ببیند.</x:v>
      </x:c>
      <x:c r="S84" s="28" t="str">
        <x:v>Generated from FRD v1.1</x:v>
      </x:c>
    </x:row>
    <x:row r="85">
      <x:c r="A85" s="28" t="str">
        <x:v>US-084</x:v>
      </x:c>
      <x:c r="B85" s="28" t="str">
        <x:v>EPIC-15</x:v>
      </x:c>
      <x:c r="C85" s="28" t="str">
        <x:v>Admin Governance, RACI &amp; Permissions</x:v>
      </x:c>
      <x:c r="D85" s="28" t="str">
        <x:v>ADMIN</x:v>
      </x:c>
      <x:c r="E85" s="28" t="str">
        <x:v>ADMIN-002</x:v>
      </x:c>
      <x:c r="F85" s="28" t="str">
        <x:v>CPL-02، CPL-17، CPL-18، CPL-26</x:v>
      </x:c>
      <x:c r="G85" s="28" t="str">
        <x:v>Super Admin / Venue Admin</x:v>
      </x:c>
      <x:c r="H85" s="28" t="str">
        <x:v>به‌عنوان Super Admin / Venue Admin می‌خواهم تغییرات حساس روی Venue، Campaign، Quest، Reward، QR و Merchant باید Audit Log ایجاد کند. تا اجرای پایلوت و سنجش آن مطابق FRD v1.1 کنترل شود.</x:v>
      </x:c>
      <x:c r="I85" s="28" t="str">
        <x:v>چه کسی، چه چیزی، چه زمانی تغییر داده قابل مشاهده باشد.</x:v>
      </x:c>
      <x:c r="J85" s="28" t="str">
        <x:v>P0</x:v>
      </x:c>
      <x:c r="K85" s="28" t="str">
        <x:v>Must</x:v>
      </x:c>
      <x:c r="L85" s="28" t="str">
        <x:v>MVP</x:v>
      </x:c>
      <x:c r="M85" s="28" t="str">
        <x:v>Sprint 4</x:v>
      </x:c>
      <x:c r="N85" s="28" t="n">
        <x:v>5</x:v>
      </x:c>
      <x:c r="O85" s="28" t="str">
        <x:v>REL-003, DATA-001</x:v>
      </x:c>
      <x:c r="P85" s="28" t="str">
        <x:v>Not Started</x:v>
      </x:c>
      <x:c r="Q85" s="28" t="str">
        <x:v>TC-084</x:v>
      </x:c>
      <x:c r="R85" s="28" t="str">
        <x:v>بررسی شود که ADMIN-002 اجرا شده و معیار پذیرش آن برقرار است: چه کسی، چه چیزی، چه زمانی تغییر داده قابل مشاهده باشد.</x:v>
      </x:c>
      <x:c r="S85" s="28" t="str">
        <x:v>Generated from FRD v1.1</x:v>
      </x:c>
    </x:row>
    <x:row r="86">
      <x:c r="A86" s="28" t="str">
        <x:v>US-085</x:v>
      </x:c>
      <x:c r="B86" s="28" t="str">
        <x:v>EPIC-15</x:v>
      </x:c>
      <x:c r="C86" s="28" t="str">
        <x:v>Admin Governance, RACI &amp; Permissions</x:v>
      </x:c>
      <x:c r="D86" s="28" t="str">
        <x:v>ADMIN</x:v>
      </x:c>
      <x:c r="E86" s="28" t="str">
        <x:v>ADMIN-003</x:v>
      </x:c>
      <x:c r="F86" s="28" t="str">
        <x:v>CPL-02، CPL-17، CPL-18، CPL-26</x:v>
      </x:c>
      <x:c r="G86" s="28" t="str">
        <x:v>Super Admin / Venue Admin</x:v>
      </x:c>
      <x:c r="H86" s="28" t="str">
        <x:v>به‌عنوان Super Admin / Venue Admin می‌خواهم RACI عملیاتی هر پایلوت باید قابل ثبت یا پیوست باشد. تا اجرای پایلوت و سنجش آن مطابق FRD v1.1 کنترل شود.</x:v>
      </x:c>
      <x:c r="I86" s="28" t="str">
        <x:v>تصمیم‌ها و مسئولیت‌ها در Runbook قابل ارجاع باشند.</x:v>
      </x:c>
      <x:c r="J86" s="28" t="str">
        <x:v>P0</x:v>
      </x:c>
      <x:c r="K86" s="28" t="str">
        <x:v>Must</x:v>
      </x:c>
      <x:c r="L86" s="28" t="str">
        <x:v>MVP</x:v>
      </x:c>
      <x:c r="M86" s="28" t="str">
        <x:v>Sprint 4</x:v>
      </x:c>
      <x:c r="N86" s="28" t="n">
        <x:v>5</x:v>
      </x:c>
      <x:c r="O86" s="28" t="str">
        <x:v>REL-003, DATA-001</x:v>
      </x:c>
      <x:c r="P86" s="28" t="str">
        <x:v>Not Started</x:v>
      </x:c>
      <x:c r="Q86" s="28" t="str">
        <x:v>TC-085</x:v>
      </x:c>
      <x:c r="R86" s="28" t="str">
        <x:v>بررسی شود که ADMIN-003 اجرا شده و معیار پذیرش آن برقرار است: تصمیم‌ها و مسئولیت‌ها در Runbook قابل ارجاع باشند.</x:v>
      </x:c>
      <x:c r="S86" s="28" t="str">
        <x:v>Generated from FRD v1.1</x:v>
      </x:c>
    </x:row>
    <x:row r="87">
      <x:c r="A87" s="28" t="str">
        <x:v>US-086</x:v>
      </x:c>
      <x:c r="B87" s="28" t="str">
        <x:v>EPIC-15</x:v>
      </x:c>
      <x:c r="C87" s="28" t="str">
        <x:v>Admin Governance, RACI &amp; Permissions</x:v>
      </x:c>
      <x:c r="D87" s="28" t="str">
        <x:v>ADMIN</x:v>
      </x:c>
      <x:c r="E87" s="28" t="str">
        <x:v>ADMIN-004</x:v>
      </x:c>
      <x:c r="F87" s="28" t="str">
        <x:v>CPL-02، CPL-17، CPL-18، CPL-26</x:v>
      </x:c>
      <x:c r="G87" s="28" t="str">
        <x:v>Super Admin / Venue Admin</x:v>
      </x:c>
      <x:c r="H87" s="28" t="str">
        <x:v>به‌عنوان Super Admin / Venue Admin می‌خواهم Approval Workflow برای محتوا، پاداش، اسپانسرینگ و شروع پایلوت وجود داشته باشد. تا اجرای پایلوت و سنجش آن مطابق FRD v1.1 کنترل شود.</x:v>
      </x:c>
      <x:c r="I87" s="28" t="str">
        <x:v>مورد تأییدنشده Live نشود.</x:v>
      </x:c>
      <x:c r="J87" s="28" t="str">
        <x:v>P2</x:v>
      </x:c>
      <x:c r="K87" s="28" t="str">
        <x:v>Should</x:v>
      </x:c>
      <x:c r="L87" s="28" t="str">
        <x:v>MVP</x:v>
      </x:c>
      <x:c r="M87" s="28" t="str">
        <x:v>Sprint 4</x:v>
      </x:c>
      <x:c r="N87" s="28" t="n">
        <x:v>5</x:v>
      </x:c>
      <x:c r="O87" s="28" t="str">
        <x:v>REL-003, DATA-001</x:v>
      </x:c>
      <x:c r="P87" s="28" t="str">
        <x:v>Not Started</x:v>
      </x:c>
      <x:c r="Q87" s="28" t="str">
        <x:v>TC-086</x:v>
      </x:c>
      <x:c r="R87" s="28" t="str">
        <x:v>بررسی شود که ADMIN-004 اجرا شده و معیار پذیرش آن برقرار است: مورد تأییدنشده Live نشود.</x:v>
      </x:c>
      <x:c r="S87" s="28" t="str">
        <x:v>Generated from FRD v1.1</x:v>
      </x:c>
    </x:row>
    <x:row r="88">
      <x:c r="A88" s="28" t="str">
        <x:v>US-087</x:v>
      </x:c>
      <x:c r="B88" s="28" t="str">
        <x:v>EPIC-15</x:v>
      </x:c>
      <x:c r="C88" s="28" t="str">
        <x:v>Admin Governance, RACI &amp; Permissions</x:v>
      </x:c>
      <x:c r="D88" s="28" t="str">
        <x:v>ADMIN</x:v>
      </x:c>
      <x:c r="E88" s="28" t="str">
        <x:v>ADMIN-005</x:v>
      </x:c>
      <x:c r="F88" s="28" t="str">
        <x:v>CPL-02، CPL-17، CPL-18، CPL-26</x:v>
      </x:c>
      <x:c r="G88" s="28" t="str">
        <x:v>Super Admin / Venue Admin</x:v>
      </x:c>
      <x:c r="H88" s="28" t="str">
        <x:v>به‌عنوان Super Admin / Venue Admin می‌خواهم Change Request برای حذف/کاهش دامنه CPL یا تغییر KPI قابل ثبت باشد. تا اجرای پایلوت و سنجش آن مطابق FRD v1.1 کنترل شود.</x:v>
      </x:c>
      <x:c r="I88" s="28" t="str">
        <x:v>قانون قفل CPL اجرایی شود.</x:v>
      </x:c>
      <x:c r="J88" s="28" t="str">
        <x:v>P2</x:v>
      </x:c>
      <x:c r="K88" s="28" t="str">
        <x:v>Should</x:v>
      </x:c>
      <x:c r="L88" s="28" t="str">
        <x:v>MVP</x:v>
      </x:c>
      <x:c r="M88" s="28" t="str">
        <x:v>Sprint 4</x:v>
      </x:c>
      <x:c r="N88" s="28" t="n">
        <x:v>3</x:v>
      </x:c>
      <x:c r="O88" s="28" t="str">
        <x:v>REL-003, DATA-001</x:v>
      </x:c>
      <x:c r="P88" s="28" t="str">
        <x:v>Not Started</x:v>
      </x:c>
      <x:c r="Q88" s="28" t="str">
        <x:v>TC-087</x:v>
      </x:c>
      <x:c r="R88" s="28" t="str">
        <x:v>بررسی شود که ADMIN-005 اجرا شده و معیار پذیرش آن برقرار است: قانون قفل CPL اجرایی شود.</x:v>
      </x:c>
      <x:c r="S88" s="28" t="str">
        <x:v>Generated from FRD v1.1</x:v>
      </x:c>
    </x:row>
    <x:row r="89">
      <x:c r="A89" s="28" t="str">
        <x:v>US-088</x:v>
      </x:c>
      <x:c r="B89" s="28" t="str">
        <x:v>EPIC-16</x:v>
      </x:c>
      <x:c r="C89" s="28" t="str">
        <x:v>Support, Complaints &amp; Incidents</x:v>
      </x:c>
      <x:c r="D89" s="28" t="str">
        <x:v>SUPPORT</x:v>
      </x:c>
      <x:c r="E89" s="28" t="str">
        <x:v>SUPPORT-001</x:v>
      </x:c>
      <x:c r="F89" s="28" t="str">
        <x:v>CPL-17، CPL-21، CPL-22، CPL-23</x:v>
      </x:c>
      <x:c r="G89" s="28" t="str">
        <x:v>کاربر / Support Agent / سفیر</x:v>
      </x:c>
      <x:c r="H89" s="28" t="str">
        <x:v>به‌عنوان کاربر / Support Agent / سفیر می‌خواهم کاربر یا سفیر باید بتواند مشکل QR، پاداش، امتیاز یا فروشگاه را ثبت کند. تا اجرای پایلوت و سنجش آن مطابق FRD v1.1 کنترل شود.</x:v>
      </x:c>
      <x:c r="I89" s="28" t="str">
        <x:v>Ticket با نوع مشکل و وضعیت ایجاد شود.</x:v>
      </x:c>
      <x:c r="J89" s="28" t="str">
        <x:v>P1</x:v>
      </x:c>
      <x:c r="K89" s="28" t="str">
        <x:v>Must</x:v>
      </x:c>
      <x:c r="L89" s="28" t="str">
        <x:v>MVP+MVCP</x:v>
      </x:c>
      <x:c r="M89" s="28" t="str">
        <x:v>Sprint 5</x:v>
      </x:c>
      <x:c r="N89" s="28" t="n">
        <x:v>5</x:v>
      </x:c>
      <x:c r="O89" s="28" t="str">
        <x:v>AUTH-001, PILOT-001</x:v>
      </x:c>
      <x:c r="P89" s="28" t="str">
        <x:v>Not Started</x:v>
      </x:c>
      <x:c r="Q89" s="28" t="str">
        <x:v>TC-088</x:v>
      </x:c>
      <x:c r="R89" s="28" t="str">
        <x:v>بررسی شود که SUPPORT-001 اجرا شده و معیار پذیرش آن برقرار است: Ticket با نوع مشکل و وضعیت ایجاد شود.</x:v>
      </x:c>
      <x:c r="S89" s="28" t="str">
        <x:v>Generated from FRD v1.1</x:v>
      </x:c>
    </x:row>
    <x:row r="90">
      <x:c r="A90" s="28" t="str">
        <x:v>US-089</x:v>
      </x:c>
      <x:c r="B90" s="28" t="str">
        <x:v>EPIC-16</x:v>
      </x:c>
      <x:c r="C90" s="28" t="str">
        <x:v>Support, Complaints &amp; Incidents</x:v>
      </x:c>
      <x:c r="D90" s="28" t="str">
        <x:v>SUPPORT</x:v>
      </x:c>
      <x:c r="E90" s="28" t="str">
        <x:v>SUPPORT-002</x:v>
      </x:c>
      <x:c r="F90" s="28" t="str">
        <x:v>CPL-17، CPL-21، CPL-22، CPL-23</x:v>
      </x:c>
      <x:c r="G90" s="28" t="str">
        <x:v>کاربر / Support Agent / سفیر</x:v>
      </x:c>
      <x:c r="H90" s="28" t="str">
        <x:v>به‌عنوان کاربر / Support Agent / سفیر می‌خواهم ادمین/Support باید وضعیت Open، In Review، Resolved، Rejected یا Escalated را مدیریت کند. تا اجرای پایلوت و سنجش آن مطابق FRD v1.1 کنترل شود.</x:v>
      </x:c>
      <x:c r="I90" s="28" t="str">
        <x:v>کاربر یا تیم عملیات وضعیت پیگیری را بداند.</x:v>
      </x:c>
      <x:c r="J90" s="28" t="str">
        <x:v>P1</x:v>
      </x:c>
      <x:c r="K90" s="28" t="str">
        <x:v>Must</x:v>
      </x:c>
      <x:c r="L90" s="28" t="str">
        <x:v>MVP+MVCP</x:v>
      </x:c>
      <x:c r="M90" s="28" t="str">
        <x:v>Sprint 5</x:v>
      </x:c>
      <x:c r="N90" s="28" t="n">
        <x:v>5</x:v>
      </x:c>
      <x:c r="O90" s="28" t="str">
        <x:v>AUTH-001, PILOT-001</x:v>
      </x:c>
      <x:c r="P90" s="28" t="str">
        <x:v>Not Started</x:v>
      </x:c>
      <x:c r="Q90" s="28" t="str">
        <x:v>TC-089</x:v>
      </x:c>
      <x:c r="R90" s="28" t="str">
        <x:v>بررسی شود که SUPPORT-002 اجرا شده و معیار پذیرش آن برقرار است: کاربر یا تیم عملیات وضعیت پیگیری را بداند.</x:v>
      </x:c>
      <x:c r="S90" s="28" t="str">
        <x:v>Generated from FRD v1.1</x:v>
      </x:c>
    </x:row>
    <x:row r="91">
      <x:c r="A91" s="28" t="str">
        <x:v>US-090</x:v>
      </x:c>
      <x:c r="B91" s="28" t="str">
        <x:v>EPIC-16</x:v>
      </x:c>
      <x:c r="C91" s="28" t="str">
        <x:v>Support, Complaints &amp; Incidents</x:v>
      </x:c>
      <x:c r="D91" s="28" t="str">
        <x:v>SUPPORT</x:v>
      </x:c>
      <x:c r="E91" s="28" t="str">
        <x:v>SUPPORT-003</x:v>
      </x:c>
      <x:c r="F91" s="28" t="str">
        <x:v>CPL-17، CPL-21، CPL-22، CPL-23</x:v>
      </x:c>
      <x:c r="G91" s="28" t="str">
        <x:v>کاربر / Support Agent / سفیر</x:v>
      </x:c>
      <x:c r="H91" s="28" t="str">
        <x:v>به‌عنوان کاربر / Support Agent / سفیر می‌خواهم رخدادهای میدانی مانند ازدحام، اعتراض، خرابی، آسیب یا موضوع حقوقی باید Incident ثبت کنند. تا اجرای پایلوت و سنجش آن مطابق FRD v1.1 کنترل شود.</x:v>
      </x:c>
      <x:c r="I91" s="28" t="str">
        <x:v>Incident در Daily Report دیده شود.</x:v>
      </x:c>
      <x:c r="J91" s="28" t="str">
        <x:v>P1</x:v>
      </x:c>
      <x:c r="K91" s="28" t="str">
        <x:v>Must</x:v>
      </x:c>
      <x:c r="L91" s="28" t="str">
        <x:v>MVP+MVCP</x:v>
      </x:c>
      <x:c r="M91" s="28" t="str">
        <x:v>Sprint 5</x:v>
      </x:c>
      <x:c r="N91" s="28" t="n">
        <x:v>5</x:v>
      </x:c>
      <x:c r="O91" s="28" t="str">
        <x:v>AUTH-001, PILOT-001</x:v>
      </x:c>
      <x:c r="P91" s="28" t="str">
        <x:v>Not Started</x:v>
      </x:c>
      <x:c r="Q91" s="28" t="str">
        <x:v>TC-090</x:v>
      </x:c>
      <x:c r="R91" s="28" t="str">
        <x:v>بررسی شود که SUPPORT-003 اجرا شده و معیار پذیرش آن برقرار است: Incident در Daily Report دیده شود.</x:v>
      </x:c>
      <x:c r="S91" s="28" t="str">
        <x:v>Generated from FRD v1.1</x:v>
      </x:c>
    </x:row>
    <x:row r="92">
      <x:c r="A92" s="28" t="str">
        <x:v>US-091</x:v>
      </x:c>
      <x:c r="B92" s="28" t="str">
        <x:v>EPIC-16</x:v>
      </x:c>
      <x:c r="C92" s="28" t="str">
        <x:v>Support, Complaints &amp; Incidents</x:v>
      </x:c>
      <x:c r="D92" s="28" t="str">
        <x:v>SUPPORT</x:v>
      </x:c>
      <x:c r="E92" s="28" t="str">
        <x:v>SUPPORT-004</x:v>
      </x:c>
      <x:c r="F92" s="28" t="str">
        <x:v>CPL-17، CPL-21، CPL-22، CPL-23</x:v>
      </x:c>
      <x:c r="G92" s="28" t="str">
        <x:v>کاربر / Support Agent / سفیر</x:v>
      </x:c>
      <x:c r="H92" s="28" t="str">
        <x:v>به‌عنوان کاربر / Support Agent / سفیر می‌خواهم FAQ برای کاربر، سفیر و Merchant قابل نگهداری باشد. تا اجرای پایلوت و سنجش آن مطابق FRD v1.1 کنترل شود.</x:v>
      </x:c>
      <x:c r="I92" s="28" t="str">
        <x:v>سؤالات پرتکرار به محتوای آموزشی تبدیل شود.</x:v>
      </x:c>
      <x:c r="J92" s="28" t="str">
        <x:v>P2</x:v>
      </x:c>
      <x:c r="K92" s="28" t="str">
        <x:v>Should</x:v>
      </x:c>
      <x:c r="L92" s="28" t="str">
        <x:v>MVP+MVCP</x:v>
      </x:c>
      <x:c r="M92" s="28" t="str">
        <x:v>Sprint 5</x:v>
      </x:c>
      <x:c r="N92" s="28" t="n">
        <x:v>3</x:v>
      </x:c>
      <x:c r="O92" s="28" t="str">
        <x:v>AUTH-001, PILOT-001</x:v>
      </x:c>
      <x:c r="P92" s="28" t="str">
        <x:v>Not Started</x:v>
      </x:c>
      <x:c r="Q92" s="28" t="str">
        <x:v>TC-091</x:v>
      </x:c>
      <x:c r="R92" s="28" t="str">
        <x:v>بررسی شود که SUPPORT-004 اجرا شده و معیار پذیرش آن برقرار است: سؤالات پرتکرار به محتوای آموزشی تبدیل شود.</x:v>
      </x:c>
      <x:c r="S92" s="28" t="str">
        <x:v>Generated from FRD v1.1</x:v>
      </x:c>
    </x:row>
    <x:row r="93">
      <x:c r="A93" s="28" t="str">
        <x:v>US-092</x:v>
      </x:c>
      <x:c r="B93" s="28" t="str">
        <x:v>EPIC-16</x:v>
      </x:c>
      <x:c r="C93" s="28" t="str">
        <x:v>Support, Complaints &amp; Incidents</x:v>
      </x:c>
      <x:c r="D93" s="28" t="str">
        <x:v>SUPPORT</x:v>
      </x:c>
      <x:c r="E93" s="28" t="str">
        <x:v>SUPPORT-005</x:v>
      </x:c>
      <x:c r="F93" s="28" t="str">
        <x:v>CPL-17، CPL-21، CPL-22، CPL-23</x:v>
      </x:c>
      <x:c r="G93" s="28" t="str">
        <x:v>کاربر / Support Agent / سفیر</x:v>
      </x:c>
      <x:c r="H93" s="28" t="str">
        <x:v>به‌عنوان کاربر / Support Agent / سفیر می‌خواهم Feedback و رضایت کاربر پس از تجربه یا پاداش ثبت شود. تا اجرای پایلوت و سنجش آن مطابق FRD v1.1 کنترل شود.</x:v>
      </x:c>
      <x:c r="I93" s="28" t="str">
        <x:v>KPI رضایت و نقاط مشکل‌دار قابل تحلیل باشد.</x:v>
      </x:c>
      <x:c r="J93" s="28" t="str">
        <x:v>P2</x:v>
      </x:c>
      <x:c r="K93" s="28" t="str">
        <x:v>Should</x:v>
      </x:c>
      <x:c r="L93" s="28" t="str">
        <x:v>MVP+MVCP</x:v>
      </x:c>
      <x:c r="M93" s="28" t="str">
        <x:v>Sprint 5</x:v>
      </x:c>
      <x:c r="N93" s="28" t="n">
        <x:v>3</x:v>
      </x:c>
      <x:c r="O93" s="28" t="str">
        <x:v>AUTH-001, PILOT-001</x:v>
      </x:c>
      <x:c r="P93" s="28" t="str">
        <x:v>Not Started</x:v>
      </x:c>
      <x:c r="Q93" s="28" t="str">
        <x:v>TC-092</x:v>
      </x:c>
      <x:c r="R93" s="28" t="str">
        <x:v>بررسی شود که SUPPORT-005 اجرا شده و معیار پذیرش آن برقرار است: KPI رضایت و نقاط مشکل‌دار قابل تحلیل باشد.</x:v>
      </x:c>
      <x:c r="S93" s="28" t="str">
        <x:v>Generated from FRD v1.1</x:v>
      </x:c>
    </x:row>
    <x:row r="94">
      <x:c r="A94" s="28" t="str">
        <x:v>US-093</x:v>
      </x:c>
      <x:c r="B94" s="28" t="str">
        <x:v>EPIC-17</x:v>
      </x:c>
      <x:c r="C94" s="28" t="str">
        <x:v>Offline &amp; Manual Fallback</x:v>
      </x:c>
      <x:c r="D94" s="28" t="str">
        <x:v>OFFLINE</x:v>
      </x:c>
      <x:c r="E94" s="28" t="str">
        <x:v>OFF-001</x:v>
      </x:c>
      <x:c r="F94" s="28" t="str">
        <x:v>CPL-21، CPL-07، CPL-08، CPL-19</x:v>
      </x:c>
      <x:c r="G94" s="28" t="str">
        <x:v>سفیر / کاربر</x:v>
      </x:c>
      <x:c r="H94" s="28" t="str">
        <x:v>به‌عنوان سفیر / کاربر می‌خواهم سیستم باید خطای اتصال یا باز نشدن QR را با پیام ساده و قابل فهم نمایش دهد. تا اجرای پایلوت و سنجش آن مطابق FRD v1.1 کنترل شود.</x:v>
      </x:c>
      <x:c r="I94" s="28" t="str">
        <x:v>کاربر سردرگم یا رها نشود.</x:v>
      </x:c>
      <x:c r="J94" s="28" t="str">
        <x:v>P1</x:v>
      </x:c>
      <x:c r="K94" s="28" t="str">
        <x:v>Must</x:v>
      </x:c>
      <x:c r="L94" s="28" t="str">
        <x:v>MVCP</x:v>
      </x:c>
      <x:c r="M94" s="28" t="str">
        <x:v>Sprint 5</x:v>
      </x:c>
      <x:c r="N94" s="28" t="n">
        <x:v>5</x:v>
      </x:c>
      <x:c r="O94" s="28" t="str">
        <x:v>QR-001, EVENT-001</x:v>
      </x:c>
      <x:c r="P94" s="28" t="str">
        <x:v>Not Started</x:v>
      </x:c>
      <x:c r="Q94" s="28" t="str">
        <x:v>TC-093</x:v>
      </x:c>
      <x:c r="R94" s="28" t="str">
        <x:v>بررسی شود که OFF-001 اجرا شده و معیار پذیرش آن برقرار است: کاربر سردرگم یا رها نشود.</x:v>
      </x:c>
      <x:c r="S94" s="28" t="str">
        <x:v>Generated from FRD v1.1</x:v>
      </x:c>
    </x:row>
    <x:row r="95">
      <x:c r="A95" s="28" t="str">
        <x:v>US-094</x:v>
      </x:c>
      <x:c r="B95" s="28" t="str">
        <x:v>EPIC-17</x:v>
      </x:c>
      <x:c r="C95" s="28" t="str">
        <x:v>Offline &amp; Manual Fallback</x:v>
      </x:c>
      <x:c r="D95" s="28" t="str">
        <x:v>OFFLINE</x:v>
      </x:c>
      <x:c r="E95" s="28" t="str">
        <x:v>OFF-002</x:v>
      </x:c>
      <x:c r="F95" s="28" t="str">
        <x:v>CPL-21، CPL-07، CPL-08، CPL-19</x:v>
      </x:c>
      <x:c r="G95" s="28" t="str">
        <x:v>سفیر / کاربر</x:v>
      </x:c>
      <x:c r="H95" s="28" t="str">
        <x:v>به‌عنوان سفیر / کاربر می‌خواهم سفیر باید بتواند مشکل اتصال یا ثبت دستی حداقلی را گزارش کند. تا اجرای پایلوت و سنجش آن مطابق FRD v1.1 کنترل شود.</x:v>
      </x:c>
      <x:c r="I95" s="28" t="str">
        <x:v>Offline/Manual Log در Daily Report دیده شود.</x:v>
      </x:c>
      <x:c r="J95" s="28" t="str">
        <x:v>P1</x:v>
      </x:c>
      <x:c r="K95" s="28" t="str">
        <x:v>Must</x:v>
      </x:c>
      <x:c r="L95" s="28" t="str">
        <x:v>MVCP</x:v>
      </x:c>
      <x:c r="M95" s="28" t="str">
        <x:v>Sprint 5</x:v>
      </x:c>
      <x:c r="N95" s="28" t="n">
        <x:v>8</x:v>
      </x:c>
      <x:c r="O95" s="28" t="str">
        <x:v>QR-001, EVENT-001</x:v>
      </x:c>
      <x:c r="P95" s="28" t="str">
        <x:v>Not Started</x:v>
      </x:c>
      <x:c r="Q95" s="28" t="str">
        <x:v>TC-094</x:v>
      </x:c>
      <x:c r="R95" s="28" t="str">
        <x:v>بررسی شود که OFF-002 اجرا شده و معیار پذیرش آن برقرار است: Offline/Manual Log در Daily Report دیده شود.</x:v>
      </x:c>
      <x:c r="S95" s="28" t="str">
        <x:v>Generated from FRD v1.1</x:v>
      </x:c>
    </x:row>
    <x:row r="96">
      <x:c r="A96" s="28" t="str">
        <x:v>US-095</x:v>
      </x:c>
      <x:c r="B96" s="28" t="str">
        <x:v>EPIC-17</x:v>
      </x:c>
      <x:c r="C96" s="28" t="str">
        <x:v>Offline &amp; Manual Fallback</x:v>
      </x:c>
      <x:c r="D96" s="28" t="str">
        <x:v>OFFLINE</x:v>
      </x:c>
      <x:c r="E96" s="28" t="str">
        <x:v>OFF-003</x:v>
      </x:c>
      <x:c r="F96" s="28" t="str">
        <x:v>CPL-21، CPL-07، CPL-08، CPL-19</x:v>
      </x:c>
      <x:c r="G96" s="28" t="str">
        <x:v>سفیر / کاربر</x:v>
      </x:c>
      <x:c r="H96" s="28" t="str">
        <x:v>به‌عنوان سفیر / کاربر می‌خواهم Offline Scan یا Offline Interaction با برچسب منبع و زمان ذخیره و پس از اتصال sync شود. تا اجرای پایلوت و سنجش آن مطابق FRD v1.1 کنترل شود.</x:v>
      </x:c>
      <x:c r="I96" s="28" t="str">
        <x:v>داده آفلاین در Event Stream با Quality Flag وارد شود.</x:v>
      </x:c>
      <x:c r="J96" s="28" t="str">
        <x:v>P1</x:v>
      </x:c>
      <x:c r="K96" s="28" t="str">
        <x:v>Should</x:v>
      </x:c>
      <x:c r="L96" s="28" t="str">
        <x:v>MVCP</x:v>
      </x:c>
      <x:c r="M96" s="28" t="str">
        <x:v>Sprint 5</x:v>
      </x:c>
      <x:c r="N96" s="28" t="n">
        <x:v>5</x:v>
      </x:c>
      <x:c r="O96" s="28" t="str">
        <x:v>QR-001, EVENT-001</x:v>
      </x:c>
      <x:c r="P96" s="28" t="str">
        <x:v>Not Started</x:v>
      </x:c>
      <x:c r="Q96" s="28" t="str">
        <x:v>TC-095</x:v>
      </x:c>
      <x:c r="R96" s="28" t="str">
        <x:v>بررسی شود که OFF-003 اجرا شده و معیار پذیرش آن برقرار است: داده آفلاین در Event Stream با Quality Flag وارد شود.</x:v>
      </x:c>
      <x:c r="S96" s="28" t="str">
        <x:v>Generated from FRD v1.1</x:v>
      </x:c>
    </x:row>
    <x:row r="97">
      <x:c r="A97" s="28" t="str">
        <x:v>US-096</x:v>
      </x:c>
      <x:c r="B97" s="28" t="str">
        <x:v>EPIC-17</x:v>
      </x:c>
      <x:c r="C97" s="28" t="str">
        <x:v>Offline &amp; Manual Fallback</x:v>
      </x:c>
      <x:c r="D97" s="28" t="str">
        <x:v>OFFLINE</x:v>
      </x:c>
      <x:c r="E97" s="28" t="str">
        <x:v>OFF-004</x:v>
      </x:c>
      <x:c r="F97" s="28" t="str">
        <x:v>CPL-21، CPL-07، CPL-08، CPL-19</x:v>
      </x:c>
      <x:c r="G97" s="28" t="str">
        <x:v>سفیر / کاربر</x:v>
      </x:c>
      <x:c r="H97" s="28" t="str">
        <x:v>به‌عنوان سفیر / کاربر می‌خواهم Runbook باید سناریوی جایگزین برای QR خراب، اینترنت ضعیف و خرابی نمایشگر داشته باشد. تا اجرای پایلوت و سنجش آن مطابق FRD v1.1 کنترل شود.</x:v>
      </x:c>
      <x:c r="I97" s="28" t="str">
        <x:v>تیم میدان بداند در هر خطا چه کند.</x:v>
      </x:c>
      <x:c r="J97" s="28" t="str">
        <x:v>P1</x:v>
      </x:c>
      <x:c r="K97" s="28" t="str">
        <x:v>Should</x:v>
      </x:c>
      <x:c r="L97" s="28" t="str">
        <x:v>MVCP</x:v>
      </x:c>
      <x:c r="M97" s="28" t="str">
        <x:v>Sprint 5</x:v>
      </x:c>
      <x:c r="N97" s="28" t="n">
        <x:v>3</x:v>
      </x:c>
      <x:c r="O97" s="28" t="str">
        <x:v>QR-001, EVENT-001</x:v>
      </x:c>
      <x:c r="P97" s="28" t="str">
        <x:v>Not Started</x:v>
      </x:c>
      <x:c r="Q97" s="28" t="str">
        <x:v>TC-096</x:v>
      </x:c>
      <x:c r="R97" s="28" t="str">
        <x:v>بررسی شود که OFF-004 اجرا شده و معیار پذیرش آن برقرار است: تیم میدان بداند در هر خطا چه کند.</x:v>
      </x:c>
      <x:c r="S97" s="28" t="str">
        <x:v>Generated from FRD v1.1</x:v>
      </x:c>
    </x:row>
    <x:row r="98">
      <x:c r="A98" s="28" t="str">
        <x:v>US-097</x:v>
      </x:c>
      <x:c r="B98" s="28" t="str">
        <x:v>EPIC-17</x:v>
      </x:c>
      <x:c r="C98" s="28" t="str">
        <x:v>Offline &amp; Manual Fallback</x:v>
      </x:c>
      <x:c r="D98" s="28" t="str">
        <x:v>OFFLINE</x:v>
      </x:c>
      <x:c r="E98" s="28" t="str">
        <x:v>OFF-005</x:v>
      </x:c>
      <x:c r="F98" s="28" t="str">
        <x:v>CPL-21، CPL-07، CPL-08، CPL-19</x:v>
      </x:c>
      <x:c r="G98" s="28" t="str">
        <x:v>سفیر / کاربر</x:v>
      </x:c>
      <x:c r="H98" s="28" t="str">
        <x:v>به‌عنوان سفیر / کاربر می‌خواهم بخشی از محتوای مأموریت یا FAQ در PWA cache شود. تا اجرای پایلوت و سنجش آن مطابق FRD v1.1 کنترل شود.</x:v>
      </x:c>
      <x:c r="I98" s="28" t="str">
        <x:v>تجربه پایه حتی با اینترنت ضعیف قابل مشاهده باشد.</x:v>
      </x:c>
      <x:c r="J98" s="28" t="str">
        <x:v>P3</x:v>
      </x:c>
      <x:c r="K98" s="28" t="str">
        <x:v>Could</x:v>
      </x:c>
      <x:c r="L98" s="28" t="str">
        <x:v>MVCP</x:v>
      </x:c>
      <x:c r="M98" s="28" t="str">
        <x:v>Sprint 5</x:v>
      </x:c>
      <x:c r="N98" s="28" t="n">
        <x:v>2</x:v>
      </x:c>
      <x:c r="O98" s="28" t="str">
        <x:v>QR-001, EVENT-001</x:v>
      </x:c>
      <x:c r="P98" s="28" t="str">
        <x:v>Not Started</x:v>
      </x:c>
      <x:c r="Q98" s="28" t="str">
        <x:v>TC-097</x:v>
      </x:c>
      <x:c r="R98" s="28" t="str">
        <x:v>بررسی شود که OFF-005 اجرا شده و معیار پذیرش آن برقرار است: تجربه پایه حتی با اینترنت ضعیف قابل مشاهده باشد.</x:v>
      </x:c>
      <x:c r="S98" s="28" t="str">
        <x:v>Generated from FRD v1.1</x:v>
      </x:c>
    </x:row>
    <x:row r="99">
      <x:c r="A99" s="28" t="str">
        <x:v>US-098</x:v>
      </x:c>
      <x:c r="B99" s="28" t="str">
        <x:v>EPIC-18</x:v>
      </x:c>
      <x:c r="C99" s="28" t="str">
        <x:v>Data Ownership, Privacy &amp; Security</x:v>
      </x:c>
      <x:c r="D99" s="28" t="str">
        <x:v>DATA</x:v>
      </x:c>
      <x:c r="E99" s="28" t="str">
        <x:v>DATA-001</x:v>
      </x:c>
      <x:c r="F99" s="28" t="str">
        <x:v>CPL-17، CPL-18، CPL-19، CPL-23</x:v>
      </x:c>
      <x:c r="G99" s="28" t="str">
        <x:v>Data/Admin / کاربر</x:v>
      </x:c>
      <x:c r="H99" s="28" t="str">
        <x:v>به‌عنوان Data/Admin / کاربر می‌خواهم سیستم باید سطح دسترسی داده را برای User، Venue، Merchant، Sponsor و Admin تفکیک کند. تا اجرای پایلوت و سنجش آن مطابق FRD v1.1 کنترل شود.</x:v>
      </x:c>
      <x:c r="I99" s="28" t="str">
        <x:v>Merchant یا Sponsor داده شخصی غیرمجاز نبیند.</x:v>
      </x:c>
      <x:c r="J99" s="28" t="str">
        <x:v>P0</x:v>
      </x:c>
      <x:c r="K99" s="28" t="str">
        <x:v>Must</x:v>
      </x:c>
      <x:c r="L99" s="28" t="str">
        <x:v>MVP</x:v>
      </x:c>
      <x:c r="M99" s="28" t="str">
        <x:v>Sprint 4</x:v>
      </x:c>
      <x:c r="N99" s="28" t="n">
        <x:v>5</x:v>
      </x:c>
      <x:c r="O99" s="28" t="str">
        <x:v>AUTH-002, ADMIN-001</x:v>
      </x:c>
      <x:c r="P99" s="28" t="str">
        <x:v>Not Started</x:v>
      </x:c>
      <x:c r="Q99" s="28" t="str">
        <x:v>TC-098</x:v>
      </x:c>
      <x:c r="R99" s="28" t="str">
        <x:v>بررسی شود که DATA-001 اجرا شده و معیار پذیرش آن برقرار است: Merchant یا Sponsor داده شخصی غیرمجاز نبیند.</x:v>
      </x:c>
      <x:c r="S99" s="28" t="str">
        <x:v>Generated from FRD v1.1</x:v>
      </x:c>
    </x:row>
    <x:row r="100">
      <x:c r="A100" s="28" t="str">
        <x:v>US-099</x:v>
      </x:c>
      <x:c r="B100" s="28" t="str">
        <x:v>EPIC-18</x:v>
      </x:c>
      <x:c r="C100" s="28" t="str">
        <x:v>Data Ownership, Privacy &amp; Security</x:v>
      </x:c>
      <x:c r="D100" s="28" t="str">
        <x:v>DATA</x:v>
      </x:c>
      <x:c r="E100" s="28" t="str">
        <x:v>DATA-002</x:v>
      </x:c>
      <x:c r="F100" s="28" t="str">
        <x:v>CPL-17، CPL-18، CPL-19، CPL-23</x:v>
      </x:c>
      <x:c r="G100" s="28" t="str">
        <x:v>Data/Admin / کاربر</x:v>
      </x:c>
      <x:c r="H100" s="28" t="str">
        <x:v>به‌عنوان Data/Admin / کاربر می‌خواهم داده شخصی فقط در حد لازم برای MVP/MVCP جمع‌آوری شود. تا اجرای پایلوت و سنجش آن مطابق FRD v1.1 کنترل شود.</x:v>
      </x:c>
      <x:c r="I100" s="28" t="str">
        <x:v>فیلدهای اختیاری و حساس اجباری نباشند.</x:v>
      </x:c>
      <x:c r="J100" s="28" t="str">
        <x:v>P0</x:v>
      </x:c>
      <x:c r="K100" s="28" t="str">
        <x:v>Must</x:v>
      </x:c>
      <x:c r="L100" s="28" t="str">
        <x:v>MVP</x:v>
      </x:c>
      <x:c r="M100" s="28" t="str">
        <x:v>Sprint 4</x:v>
      </x:c>
      <x:c r="N100" s="28" t="n">
        <x:v>5</x:v>
      </x:c>
      <x:c r="O100" s="28" t="str">
        <x:v>AUTH-002, ADMIN-001</x:v>
      </x:c>
      <x:c r="P100" s="28" t="str">
        <x:v>Not Started</x:v>
      </x:c>
      <x:c r="Q100" s="28" t="str">
        <x:v>TC-099</x:v>
      </x:c>
      <x:c r="R100" s="28" t="str">
        <x:v>بررسی شود که DATA-002 اجرا شده و معیار پذیرش آن برقرار است: فیلدهای اختیاری و حساس اجباری نباشند.</x:v>
      </x:c>
      <x:c r="S100" s="28" t="str">
        <x:v>Generated from FRD v1.1</x:v>
      </x:c>
    </x:row>
    <x:row r="101">
      <x:c r="A101" s="28" t="str">
        <x:v>US-100</x:v>
      </x:c>
      <x:c r="B101" s="28" t="str">
        <x:v>EPIC-18</x:v>
      </x:c>
      <x:c r="C101" s="28" t="str">
        <x:v>Data Ownership, Privacy &amp; Security</x:v>
      </x:c>
      <x:c r="D101" s="28" t="str">
        <x:v>DATA</x:v>
      </x:c>
      <x:c r="E101" s="28" t="str">
        <x:v>DATA-003</x:v>
      </x:c>
      <x:c r="F101" s="28" t="str">
        <x:v>CPL-17، CPL-18، CPL-19، CPL-23</x:v>
      </x:c>
      <x:c r="G101" s="28" t="str">
        <x:v>Data/Admin / کاربر</x:v>
      </x:c>
      <x:c r="H101" s="28" t="str">
        <x:v>به‌عنوان Data/Admin / کاربر می‌خواهم سیاست نگهداری داده و گزارش‌های تجمیعی باید در سطح سند و سیستم قابل تعریف باشد. تا اجرای پایلوت و سنجش آن مطابق FRD v1.1 کنترل شود.</x:v>
      </x:c>
      <x:c r="I101" s="28" t="str">
        <x:v>دوره نگهداری برای رویدادها و داده‌های شخصی مشخص باشد.</x:v>
      </x:c>
      <x:c r="J101" s="28" t="str">
        <x:v>P0</x:v>
      </x:c>
      <x:c r="K101" s="28" t="str">
        <x:v>Must</x:v>
      </x:c>
      <x:c r="L101" s="28" t="str">
        <x:v>MVP</x:v>
      </x:c>
      <x:c r="M101" s="28" t="str">
        <x:v>Sprint 4</x:v>
      </x:c>
      <x:c r="N101" s="28" t="n">
        <x:v>8</x:v>
      </x:c>
      <x:c r="O101" s="28" t="str">
        <x:v>AUTH-002, ADMIN-001</x:v>
      </x:c>
      <x:c r="P101" s="28" t="str">
        <x:v>Not Started</x:v>
      </x:c>
      <x:c r="Q101" s="28" t="str">
        <x:v>TC-100</x:v>
      </x:c>
      <x:c r="R101" s="28" t="str">
        <x:v>بررسی شود که DATA-003 اجرا شده و معیار پذیرش آن برقرار است: دوره نگهداری برای رویدادها و داده‌های شخصی مشخص باشد.</x:v>
      </x:c>
      <x:c r="S101" s="28" t="str">
        <x:v>Generated from FRD v1.1</x:v>
      </x:c>
    </x:row>
    <x:row r="102">
      <x:c r="A102" s="28" t="str">
        <x:v>US-101</x:v>
      </x:c>
      <x:c r="B102" s="28" t="str">
        <x:v>EPIC-18</x:v>
      </x:c>
      <x:c r="C102" s="28" t="str">
        <x:v>Data Ownership, Privacy &amp; Security</x:v>
      </x:c>
      <x:c r="D102" s="28" t="str">
        <x:v>DATA</x:v>
      </x:c>
      <x:c r="E102" s="28" t="str">
        <x:v>DATA-004</x:v>
      </x:c>
      <x:c r="F102" s="28" t="str">
        <x:v>CPL-17، CPL-18، CPL-19، CPL-23</x:v>
      </x:c>
      <x:c r="G102" s="28" t="str">
        <x:v>Data/Admin / کاربر</x:v>
      </x:c>
      <x:c r="H102" s="28" t="str">
        <x:v>به‌عنوان Data/Admin / کاربر می‌خواهم دسترسی به داده و تغییرات حساس باید Log شود. تا اجرای پایلوت و سنجش آن مطابق FRD v1.1 کنترل شود.</x:v>
      </x:c>
      <x:c r="I102" s="28" t="str">
        <x:v>DataAccessLog و AuditLog قابل بررسی باشند.</x:v>
      </x:c>
      <x:c r="J102" s="28" t="str">
        <x:v>P0</x:v>
      </x:c>
      <x:c r="K102" s="28" t="str">
        <x:v>Must</x:v>
      </x:c>
      <x:c r="L102" s="28" t="str">
        <x:v>MVP</x:v>
      </x:c>
      <x:c r="M102" s="28" t="str">
        <x:v>Sprint 4</x:v>
      </x:c>
      <x:c r="N102" s="28" t="n">
        <x:v>5</x:v>
      </x:c>
      <x:c r="O102" s="28" t="str">
        <x:v>AUTH-002, ADMIN-001</x:v>
      </x:c>
      <x:c r="P102" s="28" t="str">
        <x:v>Not Started</x:v>
      </x:c>
      <x:c r="Q102" s="28" t="str">
        <x:v>TC-101</x:v>
      </x:c>
      <x:c r="R102" s="28" t="str">
        <x:v>بررسی شود که DATA-004 اجرا شده و معیار پذیرش آن برقرار است: DataAccessLog و AuditLog قابل بررسی باشند.</x:v>
      </x:c>
      <x:c r="S102" s="28" t="str">
        <x:v>Generated from FRD v1.1</x:v>
      </x:c>
    </x:row>
    <x:row r="103">
      <x:c r="A103" s="28" t="str">
        <x:v>US-102</x:v>
      </x:c>
      <x:c r="B103" s="28" t="str">
        <x:v>EPIC-18</x:v>
      </x:c>
      <x:c r="C103" s="28" t="str">
        <x:v>Data Ownership, Privacy &amp; Security</x:v>
      </x:c>
      <x:c r="D103" s="28" t="str">
        <x:v>DATA</x:v>
      </x:c>
      <x:c r="E103" s="28" t="str">
        <x:v>DATA-005</x:v>
      </x:c>
      <x:c r="F103" s="28" t="str">
        <x:v>CPL-17، CPL-18، CPL-19، CPL-23</x:v>
      </x:c>
      <x:c r="G103" s="28" t="str">
        <x:v>Data/Admin / کاربر</x:v>
      </x:c>
      <x:c r="H103" s="28" t="str">
        <x:v>به‌عنوان Data/Admin / کاربر می‌خواهم درخواست غیرفعال‌سازی/حذف حساب برای فاز بعد آماده‌سازی شود. تا اجرای پایلوت و سنجش آن مطابق FRD v1.1 کنترل شود.</x:v>
      </x:c>
      <x:c r="I103" s="28" t="str">
        <x:v>ساختار داده با حذف یا anonymization سازگار باشد.</x:v>
      </x:c>
      <x:c r="J103" s="28" t="str">
        <x:v>P1</x:v>
      </x:c>
      <x:c r="K103" s="28" t="str">
        <x:v>Should</x:v>
      </x:c>
      <x:c r="L103" s="28" t="str">
        <x:v>MVP</x:v>
      </x:c>
      <x:c r="M103" s="28" t="str">
        <x:v>Sprint 4</x:v>
      </x:c>
      <x:c r="N103" s="28" t="n">
        <x:v>3</x:v>
      </x:c>
      <x:c r="O103" s="28" t="str">
        <x:v>AUTH-002, ADMIN-001</x:v>
      </x:c>
      <x:c r="P103" s="28" t="str">
        <x:v>Not Started</x:v>
      </x:c>
      <x:c r="Q103" s="28" t="str">
        <x:v>TC-102</x:v>
      </x:c>
      <x:c r="R103" s="28" t="str">
        <x:v>بررسی شود که DATA-005 اجرا شده و معیار پذیرش آن برقرار است: ساختار داده با حذف یا anonymization سازگار باشد.</x:v>
      </x:c>
      <x:c r="S103" s="28" t="str">
        <x:v>Generated from FRD v1.1</x:v>
      </x:c>
    </x:row>
    <x:row r="104">
      <x:c r="A104" s="28" t="str">
        <x:v>US-103</x:v>
      </x:c>
      <x:c r="B104" s="28" t="str">
        <x:v>EPIC-18</x:v>
      </x:c>
      <x:c r="C104" s="28" t="str">
        <x:v>Data Ownership, Privacy &amp; Security</x:v>
      </x:c>
      <x:c r="D104" s="28" t="str">
        <x:v>DATA</x:v>
      </x:c>
      <x:c r="E104" s="28" t="str">
        <x:v>DATA-006</x:v>
      </x:c>
      <x:c r="F104" s="28" t="str">
        <x:v>CPL-17، CPL-18، CPL-19، CPL-23</x:v>
      </x:c>
      <x:c r="G104" s="28" t="str">
        <x:v>Data/Admin / کاربر</x:v>
      </x:c>
      <x:c r="H104" s="28" t="str">
        <x:v>به‌عنوان Data/Admin / کاربر می‌خواهم داده کودکان/خانواده باید با محتوای مناسب و کمینه‌سازی سختگیرانه مدیریت شود. تا اجرای پایلوت و سنجش آن مطابق FRD v1.1 کنترل شود.</x:v>
      </x:c>
      <x:c r="I104" s="28" t="str">
        <x:v>سناریوهای Family داده اضافی نخواهند.</x:v>
      </x:c>
      <x:c r="J104" s="28" t="str">
        <x:v>P1</x:v>
      </x:c>
      <x:c r="K104" s="28" t="str">
        <x:v>Should</x:v>
      </x:c>
      <x:c r="L104" s="28" t="str">
        <x:v>MVP</x:v>
      </x:c>
      <x:c r="M104" s="28" t="str">
        <x:v>Sprint 4</x:v>
      </x:c>
      <x:c r="N104" s="28" t="n">
        <x:v>3</x:v>
      </x:c>
      <x:c r="O104" s="28" t="str">
        <x:v>AUTH-002, ADMIN-001</x:v>
      </x:c>
      <x:c r="P104" s="28" t="str">
        <x:v>Not Started</x:v>
      </x:c>
      <x:c r="Q104" s="28" t="str">
        <x:v>TC-103</x:v>
      </x:c>
      <x:c r="R104" s="28" t="str">
        <x:v>بررسی شود که DATA-006 اجرا شده و معیار پذیرش آن برقرار است: سناریوهای Family داده اضافی نخواهند.</x:v>
      </x:c>
      <x:c r="S104" s="28" t="str">
        <x:v>Generated from FRD v1.1</x:v>
      </x:c>
    </x:row>
    <x:row r="105">
      <x:c r="A105" s="28" t="str">
        <x:v>US-104</x:v>
      </x:c>
      <x:c r="B105" s="28" t="str">
        <x:v>EPIC-19</x:v>
      </x:c>
      <x:c r="C105" s="28" t="str">
        <x:v>Pilot Exit, Transition &amp; Launch Kit</x:v>
      </x:c>
      <x:c r="D105" s="28" t="str">
        <x:v>EXIT</x:v>
      </x:c>
      <x:c r="E105" s="28" t="str">
        <x:v>EXIT-001</x:v>
      </x:c>
      <x:c r="F105" s="28" t="str">
        <x:v>CPL-06، CPL-24، CPL-25، CPL-26</x:v>
      </x:c>
      <x:c r="G105" s="28" t="str">
        <x:v>Pilot Manager / Steering Committee</x:v>
      </x:c>
      <x:c r="H105" s="28" t="str">
        <x:v>به‌عنوان Pilot Manager / Steering Committee می‌خواهم سیستم باید برای هر Pilot برنامه Closure شامل QRها، پاداش‌ها، گزارش‌ها و وضعیت Merchantها داشته باشد. تا اجرای پایلوت و سنجش آن مطابق FRD v1.1 کنترل شود.</x:v>
      </x:c>
      <x:c r="I105" s="28" t="str">
        <x:v>پایان پایلوت بدون Closure Plan ثبت نشود.</x:v>
      </x:c>
      <x:c r="J105" s="28" t="str">
        <x:v>P1</x:v>
      </x:c>
      <x:c r="K105" s="28" t="str">
        <x:v>Must</x:v>
      </x:c>
      <x:c r="L105" s="28" t="str">
        <x:v>MVCP</x:v>
      </x:c>
      <x:c r="M105" s="28" t="str">
        <x:v>Sprint 5</x:v>
      </x:c>
      <x:c r="N105" s="28" t="n">
        <x:v>8</x:v>
      </x:c>
      <x:c r="O105" s="28" t="str">
        <x:v>PILOT-005, ANALYTICS-004</x:v>
      </x:c>
      <x:c r="P105" s="28" t="str">
        <x:v>Not Started</x:v>
      </x:c>
      <x:c r="Q105" s="28" t="str">
        <x:v>TC-104</x:v>
      </x:c>
      <x:c r="R105" s="28" t="str">
        <x:v>بررسی شود که EXIT-001 اجرا شده و معیار پذیرش آن برقرار است: پایان پایلوت بدون Closure Plan ثبت نشود.</x:v>
      </x:c>
      <x:c r="S105" s="28" t="str">
        <x:v>Generated from FRD v1.1</x:v>
      </x:c>
    </x:row>
    <x:row r="106">
      <x:c r="A106" s="28" t="str">
        <x:v>US-105</x:v>
      </x:c>
      <x:c r="B106" s="28" t="str">
        <x:v>EPIC-19</x:v>
      </x:c>
      <x:c r="C106" s="28" t="str">
        <x:v>Pilot Exit, Transition &amp; Launch Kit</x:v>
      </x:c>
      <x:c r="D106" s="28" t="str">
        <x:v>EXIT</x:v>
      </x:c>
      <x:c r="E106" s="28" t="str">
        <x:v>EXIT-002</x:v>
      </x:c>
      <x:c r="F106" s="28" t="str">
        <x:v>CPL-06، CPL-24، CPL-25، CPL-26</x:v>
      </x:c>
      <x:c r="G106" s="28" t="str">
        <x:v>Pilot Manager / Steering Committee</x:v>
      </x:c>
      <x:c r="H106" s="28" t="str">
        <x:v>به‌عنوان Pilot Manager / Steering Committee می‌خواهم پاداش‌های مصرف‌نشده باید سیاست Expire، Extend یا Convert داشته باشند. تا اجرای پایلوت و سنجش آن مطابق FRD v1.1 کنترل شود.</x:v>
      </x:c>
      <x:c r="I106" s="28" t="str">
        <x:v>کاربر و Merchant درباره وضعیت پاداش بلاتکلیف نمانند.</x:v>
      </x:c>
      <x:c r="J106" s="28" t="str">
        <x:v>P1</x:v>
      </x:c>
      <x:c r="K106" s="28" t="str">
        <x:v>Must</x:v>
      </x:c>
      <x:c r="L106" s="28" t="str">
        <x:v>MVCP</x:v>
      </x:c>
      <x:c r="M106" s="28" t="str">
        <x:v>Sprint 5</x:v>
      </x:c>
      <x:c r="N106" s="28" t="n">
        <x:v>5</x:v>
      </x:c>
      <x:c r="O106" s="28" t="str">
        <x:v>PILOT-005, ANALYTICS-004</x:v>
      </x:c>
      <x:c r="P106" s="28" t="str">
        <x:v>Not Started</x:v>
      </x:c>
      <x:c r="Q106" s="28" t="str">
        <x:v>TC-105</x:v>
      </x:c>
      <x:c r="R106" s="28" t="str">
        <x:v>بررسی شود که EXIT-002 اجرا شده و معیار پذیرش آن برقرار است: کاربر و Merchant درباره وضعیت پاداش بلاتکلیف نمانند.</x:v>
      </x:c>
      <x:c r="S106" s="28" t="str">
        <x:v>Generated from FRD v1.1</x:v>
      </x:c>
    </x:row>
    <x:row r="107">
      <x:c r="A107" s="28" t="str">
        <x:v>US-106</x:v>
      </x:c>
      <x:c r="B107" s="28" t="str">
        <x:v>EPIC-19</x:v>
      </x:c>
      <x:c r="C107" s="28" t="str">
        <x:v>Pilot Exit, Transition &amp; Launch Kit</x:v>
      </x:c>
      <x:c r="D107" s="28" t="str">
        <x:v>EXIT</x:v>
      </x:c>
      <x:c r="E107" s="28" t="str">
        <x:v>EXIT-003</x:v>
      </x:c>
      <x:c r="F107" s="28" t="str">
        <x:v>CPL-06، CPL-24، CPL-25، CPL-26</x:v>
      </x:c>
      <x:c r="G107" s="28" t="str">
        <x:v>Pilot Manager / Steering Committee</x:v>
      </x:c>
      <x:c r="H107" s="28" t="str">
        <x:v>به‌عنوان Pilot Manager / Steering Committee می‌خواهم گزارش پایان پایلوت باید نسخه‌های میزبان، Merchant/Sponsor و تیم محصول را تفکیک کند. تا اجرای پایلوت و سنجش آن مطابق FRD v1.1 کنترل شود.</x:v>
      </x:c>
      <x:c r="I107" s="28" t="str">
        <x:v>هر ذی‌نفع گزارش مناسب دریافت کند.</x:v>
      </x:c>
      <x:c r="J107" s="28" t="str">
        <x:v>P1</x:v>
      </x:c>
      <x:c r="K107" s="28" t="str">
        <x:v>Must</x:v>
      </x:c>
      <x:c r="L107" s="28" t="str">
        <x:v>MVCP</x:v>
      </x:c>
      <x:c r="M107" s="28" t="str">
        <x:v>Sprint 5</x:v>
      </x:c>
      <x:c r="N107" s="28" t="n">
        <x:v>8</x:v>
      </x:c>
      <x:c r="O107" s="28" t="str">
        <x:v>PILOT-005, ANALYTICS-004</x:v>
      </x:c>
      <x:c r="P107" s="28" t="str">
        <x:v>Not Started</x:v>
      </x:c>
      <x:c r="Q107" s="28" t="str">
        <x:v>TC-106</x:v>
      </x:c>
      <x:c r="R107" s="28" t="str">
        <x:v>بررسی شود که EXIT-003 اجرا شده و معیار پذیرش آن برقرار است: هر ذی‌نفع گزارش مناسب دریافت کند.</x:v>
      </x:c>
      <x:c r="S107" s="28" t="str">
        <x:v>Generated from FRD v1.1</x:v>
      </x:c>
    </x:row>
    <x:row r="108">
      <x:c r="A108" s="28" t="str">
        <x:v>US-107</x:v>
      </x:c>
      <x:c r="B108" s="28" t="str">
        <x:v>EPIC-19</x:v>
      </x:c>
      <x:c r="C108" s="28" t="str">
        <x:v>Pilot Exit, Transition &amp; Launch Kit</x:v>
      </x:c>
      <x:c r="D108" s="28" t="str">
        <x:v>EXIT</x:v>
      </x:c>
      <x:c r="E108" s="28" t="str">
        <x:v>EXIT-004</x:v>
      </x:c>
      <x:c r="F108" s="28" t="str">
        <x:v>CPL-06، CPL-24، CPL-25، CPL-26</x:v>
      </x:c>
      <x:c r="G108" s="28" t="str">
        <x:v>Pilot Manager / Steering Committee</x:v>
      </x:c>
      <x:c r="H108" s="28" t="str">
        <x:v>به‌عنوان Pilot Manager / Steering Committee می‌خواهم Venue Launch Kit باید از نتایج پایلوت به‌روز شود. تا اجرای پایلوت و سنجش آن مطابق FRD v1.1 کنترل شود.</x:v>
      </x:c>
      <x:c r="I108" s="28" t="str">
        <x:v>درس‌آموخته‌ها در Venue بعدی استفاده شوند.</x:v>
      </x:c>
      <x:c r="J108" s="28" t="str">
        <x:v>P2</x:v>
      </x:c>
      <x:c r="K108" s="28" t="str">
        <x:v>Should</x:v>
      </x:c>
      <x:c r="L108" s="28" t="str">
        <x:v>MVCP</x:v>
      </x:c>
      <x:c r="M108" s="28" t="str">
        <x:v>Sprint 5</x:v>
      </x:c>
      <x:c r="N108" s="28" t="n">
        <x:v>3</x:v>
      </x:c>
      <x:c r="O108" s="28" t="str">
        <x:v>PILOT-005, ANALYTICS-004</x:v>
      </x:c>
      <x:c r="P108" s="28" t="str">
        <x:v>Not Started</x:v>
      </x:c>
      <x:c r="Q108" s="28" t="str">
        <x:v>TC-107</x:v>
      </x:c>
      <x:c r="R108" s="28" t="str">
        <x:v>بررسی شود که EXIT-004 اجرا شده و معیار پذیرش آن برقرار است: درس‌آموخته‌ها در Venue بعدی استفاده شوند.</x:v>
      </x:c>
      <x:c r="S108" s="28" t="str">
        <x:v>Generated from FRD v1.1</x:v>
      </x:c>
    </x:row>
    <x:row r="109">
      <x:c r="A109" s="28" t="str">
        <x:v>US-108</x:v>
      </x:c>
      <x:c r="B109" s="28" t="str">
        <x:v>EPIC-19</x:v>
      </x:c>
      <x:c r="C109" s="28" t="str">
        <x:v>Pilot Exit, Transition &amp; Launch Kit</x:v>
      </x:c>
      <x:c r="D109" s="28" t="str">
        <x:v>EXIT</x:v>
      </x:c>
      <x:c r="E109" s="28" t="str">
        <x:v>EXIT-005</x:v>
      </x:c>
      <x:c r="F109" s="28" t="str">
        <x:v>CPL-06، CPL-24، CPL-25، CPL-26</x:v>
      </x:c>
      <x:c r="G109" s="28" t="str">
        <x:v>Pilot Manager / Steering Committee</x:v>
      </x:c>
      <x:c r="H109" s="28" t="str">
        <x:v>به‌عنوان Pilot Manager / Steering Committee می‌خواهم تبدیل پایلوت موفق به فاز دوم باید با Transition Plan و KPI جدید انجام شود. تا اجرای پایلوت و سنجش آن مطابق FRD v1.1 کنترل شود.</x:v>
      </x:c>
      <x:c r="I109" s="28" t="str">
        <x:v>ادامه پروژه سلیقه‌ای و بدون دامنه نباشد.</x:v>
      </x:c>
      <x:c r="J109" s="28" t="str">
        <x:v>P2</x:v>
      </x:c>
      <x:c r="K109" s="28" t="str">
        <x:v>Should</x:v>
      </x:c>
      <x:c r="L109" s="28" t="str">
        <x:v>MVCP</x:v>
      </x:c>
      <x:c r="M109" s="28" t="str">
        <x:v>Sprint 5</x:v>
      </x:c>
      <x:c r="N109" s="28" t="n">
        <x:v>3</x:v>
      </x:c>
      <x:c r="O109" s="28" t="str">
        <x:v>PILOT-005, ANALYTICS-004</x:v>
      </x:c>
      <x:c r="P109" s="28" t="str">
        <x:v>Not Started</x:v>
      </x:c>
      <x:c r="Q109" s="28" t="str">
        <x:v>TC-108</x:v>
      </x:c>
      <x:c r="R109" s="28" t="str">
        <x:v>بررسی شود که EXIT-005 اجرا شده و معیار پذیرش آن برقرار است: ادامه پروژه سلیقه‌ای و بدون دامنه نباشد.</x:v>
      </x:c>
      <x:c r="S109" s="28" t="str">
        <x:v>Generated from FRD v1.1</x:v>
      </x:c>
    </x:row>
  </x:sheetData>
  <x:conditionalFormatting sqref="J2:J109">
    <x:cfRule type="expression" dxfId="0" priority="1">
      <x:formula>J2="P0"</x:formula>
    </x:cfRule>
    <x:cfRule type="expression" dxfId="1" priority="2">
      <x:formula>J2="P1"</x:formula>
    </x:cfRule>
  </x:conditionalFormatting>
  <x:conditionalFormatting sqref="P2:P109">
    <x:cfRule type="expression" dxfId="2" priority="3">
      <x:formula>P2="Done"</x:formula>
    </x:cfRule>
    <x:cfRule type="expression" dxfId="3" priority="4">
      <x:formula>P2="Blocked"</x:formula>
    </x:cfRule>
  </x:conditionalFormatting>
  <x:dataValidations count="4">
    <x:dataValidation type="list" sqref="J2:J109">
      <x:formula1>"P0,P1,P2,P3"</x:formula1>
    </x:dataValidation>
    <x:dataValidation type="list" sqref="K2:K109">
      <x:formula1>"Must,Should,Could"</x:formula1>
    </x:dataValidation>
    <x:dataValidation type="list" sqref="L2:L109">
      <x:formula1>"MVP,MVCP,MVP+MVCP,Product,Demo"</x:formula1>
    </x:dataValidation>
    <x:dataValidation type="list" sqref="P2:P109">
      <x:formula1>"Not Started,In Progress,Ready for Review,Blocked,Done,Deferred"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7ea502e3e4e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34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14" hidden="0" customWidth="1"/>
  </x:cols>
  <x:sheetData>
    <x:row r="1" ht="28" customHeight="1">
      <x:c r="A1" s="21" t="str">
        <x:v>Epic ID</x:v>
      </x:c>
      <x:c r="B1" s="21" t="str">
        <x:v>Module</x:v>
      </x:c>
      <x:c r="C1" s="21" t="str">
        <x:v>Epic Title</x:v>
      </x:c>
      <x:c r="D1" s="21" t="str">
        <x:v>Module Name</x:v>
      </x:c>
      <x:c r="E1" s="21" t="str">
        <x:v>CPL Trace</x:v>
      </x:c>
      <x:c r="F1" s="21" t="str">
        <x:v>Goal</x:v>
      </x:c>
      <x:c r="G1" s="21" t="str">
        <x:v>Story Count</x:v>
      </x:c>
      <x:c r="H1" s="21" t="str">
        <x:v>Must</x:v>
      </x:c>
      <x:c r="I1" s="21" t="str">
        <x:v>Should</x:v>
      </x:c>
      <x:c r="J1" s="21" t="str">
        <x:v>Could</x:v>
      </x:c>
      <x:c r="K1" s="21" t="str">
        <x:v>Scope</x:v>
      </x:c>
      <x:c r="L1" s="21" t="str">
        <x:v>Primary Sprint</x:v>
      </x:c>
    </x:row>
    <x:row r="2">
      <x:c r="A2" s="28" t="str">
        <x:v>EPIC-00</x:v>
      </x:c>
      <x:c r="B2" s="28" t="str">
        <x:v>REL</x:v>
      </x:c>
      <x:c r="C2" s="28" t="str">
        <x:v>Release Boundaries &amp; Traceability</x:v>
      </x:c>
      <x:c r="D2" s="28" t="str">
        <x:v>Release Scope, Version Boundaries &amp; Traceability</x:v>
      </x:c>
      <x:c r="E2" s="28" t="str">
        <x:v>CPL-26، CPL-01..CPL-26</x:v>
      </x:c>
      <x:c r="F2" s="28" t="str">
        <x:v>مرزبندی دقیق Demo، MVP نرم‌افزاری، MVCP تجاری و Product نهایی و الزام Traceability برای جلوگیری از Scope Creep پیش از بک‌لاگ.</x:v>
      </x:c>
      <x:c r="G2" s="28" t="n">
        <x:v>4</x:v>
      </x:c>
      <x:c r="H2" s="28" t="n">
        <x:v>3</x:v>
      </x:c>
      <x:c r="I2" s="28" t="n">
        <x:v>1</x:v>
      </x:c>
      <x:c r="J2" s="28" t="n">
        <x:v>0</x:v>
      </x:c>
      <x:c r="K2" s="28" t="str">
        <x:v>MVP+MVCP</x:v>
      </x:c>
      <x:c r="L2" s="28" t="str">
        <x:v>Sprint 0</x:v>
      </x:c>
    </x:row>
    <x:row r="3">
      <x:c r="A3" s="28" t="str">
        <x:v>EPIC-01</x:v>
      </x:c>
      <x:c r="B3" s="28" t="str">
        <x:v>AUTH</x:v>
      </x:c>
      <x:c r="C3" s="28" t="str">
        <x:v>Authentication, Consent &amp; PWA Access</x:v>
      </x:c>
      <x:c r="D3" s="28" t="str">
        <x:v>Authentication, Consent &amp; Low-Friction Access</x:v>
      </x:c>
      <x:c r="E3" s="28" t="str">
        <x:v>CPL-17، CPL-18، CPL-23، CPL-26</x:v>
      </x:c>
      <x:c r="F3" s="28" t="str">
        <x:v>ورود سریع کاربر در محیط واقعی پایلوت با کمترین اصطکاک، ترجیحاً PWA/Web App بدون نصب اجباری، همراه با رضایت پایه و امنیت OTP.</x:v>
      </x:c>
      <x:c r="G3" s="28" t="n">
        <x:v>6</x:v>
      </x:c>
      <x:c r="H3" s="28" t="n">
        <x:v>4</x:v>
      </x:c>
      <x:c r="I3" s="28" t="n">
        <x:v>1</x:v>
      </x:c>
      <x:c r="J3" s="28" t="n">
        <x:v>1</x:v>
      </x:c>
      <x:c r="K3" s="28" t="str">
        <x:v>MVP</x:v>
      </x:c>
      <x:c r="L3" s="28" t="str">
        <x:v>Sprint 1</x:v>
      </x:c>
    </x:row>
    <x:row r="4">
      <x:c r="A4" s="28" t="str">
        <x:v>EPIC-02</x:v>
      </x:c>
      <x:c r="B4" s="28" t="str">
        <x:v>VENUE</x:v>
      </x:c>
      <x:c r="C4" s="28" t="str">
        <x:v>Venue, Zone, Hub &amp; Touchpoints</x:v>
      </x:c>
      <x:c r="D4" s="28" t="str">
        <x:v>Venue / Zone / Hub / Touchpoint Configuration</x:v>
      </x:c>
      <x:c r="E4" s="28" t="str">
        <x:v>CPL-05، CPL-06، CPL-20، CPL-25</x:v>
      </x:c>
      <x:c r="F4" s="28" t="str">
        <x:v>تبدیل هر محل پایلوت به نقشه عملیاتی قابل پیکربندی شامل Venue، Zone، Hub، Touchpoint، Media Point، Merchant Node و Reward Point.</x:v>
      </x:c>
      <x:c r="G4" s="28" t="n">
        <x:v>6</x:v>
      </x:c>
      <x:c r="H4" s="28" t="n">
        <x:v>4</x:v>
      </x:c>
      <x:c r="I4" s="28" t="n">
        <x:v>2</x:v>
      </x:c>
      <x:c r="J4" s="28" t="n">
        <x:v>0</x:v>
      </x:c>
      <x:c r="K4" s="28" t="str">
        <x:v>MVP+MVCP</x:v>
      </x:c>
      <x:c r="L4" s="28" t="str">
        <x:v>Sprint 1</x:v>
      </x:c>
    </x:row>
    <x:row r="5">
      <x:c r="A5" s="28" t="str">
        <x:v>EPIC-03</x:v>
      </x:c>
      <x:c r="B5" s="28" t="str">
        <x:v>PILOT</x:v>
      </x:c>
      <x:c r="C5" s="28" t="str">
        <x:v>Pilot Operations &amp; Daily Runbook</x:v>
      </x:c>
      <x:c r="D5" s="28" t="str">
        <x:v>Pilot Operations, Runbook &amp; Daily Control</x:v>
      </x:c>
      <x:c r="E5" s="28" t="str">
        <x:v>CPL-03، CPL-07، CPL-08، CPL-21، CPL-24، CPL-25</x:v>
      </x:c>
      <x:c r="F5" s="28" t="str">
        <x:v>مدیریت اجرای ۱۴ روزه یا پایلوت‌های مشابه با آماده‌سازی، شیفت، گزارش روزانه، کنترل رخداد، خط مبنا، خروج و تصمیم نهایی.</x:v>
      </x:c>
      <x:c r="G5" s="28" t="n">
        <x:v>6</x:v>
      </x:c>
      <x:c r="H5" s="28" t="n">
        <x:v>5</x:v>
      </x:c>
      <x:c r="I5" s="28" t="n">
        <x:v>1</x:v>
      </x:c>
      <x:c r="J5" s="28" t="n">
        <x:v>0</x:v>
      </x:c>
      <x:c r="K5" s="28" t="str">
        <x:v>MVCP</x:v>
      </x:c>
      <x:c r="L5" s="28" t="str">
        <x:v>Sprint 3</x:v>
      </x:c>
    </x:row>
    <x:row r="6">
      <x:c r="A6" s="28" t="str">
        <x:v>EPIC-04</x:v>
      </x:c>
      <x:c r="B6" s="28" t="str">
        <x:v>AMB</x:v>
      </x:c>
      <x:c r="C6" s="28" t="str">
        <x:v>Field Ambassadors &amp; Scripts</x:v>
      </x:c>
      <x:c r="D6" s="28" t="str">
        <x:v>Field Ambassadors &amp; Interaction Scripts</x:v>
      </x:c>
      <x:c r="E6" s="28" t="str">
        <x:v>CPL-08، CPL-22، CPL-23</x:v>
      </x:c>
      <x:c r="F6" s="28" t="str">
        <x:v>مدیریت سفیران میدانی، آموزش، شیفت، اسکریپت تعامل، گزارش تعامل و پاسخ به سؤال یا مشکل کاربر.</x:v>
      </x:c>
      <x:c r="G6" s="28" t="n">
        <x:v>5</x:v>
      </x:c>
      <x:c r="H6" s="28" t="n">
        <x:v>2</x:v>
      </x:c>
      <x:c r="I6" s="28" t="n">
        <x:v>2</x:v>
      </x:c>
      <x:c r="J6" s="28" t="n">
        <x:v>1</x:v>
      </x:c>
      <x:c r="K6" s="28" t="str">
        <x:v>MVCP</x:v>
      </x:c>
      <x:c r="L6" s="28" t="str">
        <x:v>Sprint 3</x:v>
      </x:c>
    </x:row>
    <x:row r="7">
      <x:c r="A7" s="28" t="str">
        <x:v>EPIC-05</x:v>
      </x:c>
      <x:c r="B7" s="28" t="str">
        <x:v>ASSET</x:v>
      </x:c>
      <x:c r="C7" s="28" t="str">
        <x:v>Field Asset &amp; Hardware Control</x:v>
      </x:c>
      <x:c r="D7" s="28" t="str">
        <x:v>Hardware &amp; Field Asset Management</x:v>
      </x:c>
      <x:c r="E7" s="28" t="str">
        <x:v>CPL-09، CPL-10، CPL-21</x:v>
      </x:c>
      <x:c r="F7" s="28" t="str">
        <x:v>کنترل دارایی‌های میدانی شامل کوله‌پشتی هولوگرافیک، نمایشگر ثابت، استند، QR چاپی، پاوربانک، اینترنت و تجهیزات سفیران.</x:v>
      </x:c>
      <x:c r="G7" s="28" t="n">
        <x:v>5</x:v>
      </x:c>
      <x:c r="H7" s="28" t="n">
        <x:v>3</x:v>
      </x:c>
      <x:c r="I7" s="28" t="n">
        <x:v>2</x:v>
      </x:c>
      <x:c r="J7" s="28" t="n">
        <x:v>0</x:v>
      </x:c>
      <x:c r="K7" s="28" t="str">
        <x:v>MVCP</x:v>
      </x:c>
      <x:c r="L7" s="28" t="str">
        <x:v>Sprint 3</x:v>
      </x:c>
    </x:row>
    <x:row r="8">
      <x:c r="A8" s="28" t="str">
        <x:v>EPIC-06</x:v>
      </x:c>
      <x:c r="B8" s="28" t="str">
        <x:v>MEDIA</x:v>
      </x:c>
      <x:c r="C8" s="28" t="str">
        <x:v>Interactive Media Network</x:v>
      </x:c>
      <x:c r="D8" s="28" t="str">
        <x:v>Interactive Media Network &amp; Content Scheduling</x:v>
      </x:c>
      <x:c r="E8" s="28" t="str">
        <x:v>CPL-10، CPL-12، CPL-13، CPL-20</x:v>
      </x:c>
      <x:c r="F8" s="28" t="str">
        <x:v>اتصال رسانه‌های هولوگرافیک، نمایشگرهای ثابت و پیام‌های محیطی به محتوا، QR، کمپین و گزارش اثر رسانه.</x:v>
      </x:c>
      <x:c r="G8" s="28" t="n">
        <x:v>5</x:v>
      </x:c>
      <x:c r="H8" s="28" t="n">
        <x:v>3</x:v>
      </x:c>
      <x:c r="I8" s="28" t="n">
        <x:v>2</x:v>
      </x:c>
      <x:c r="J8" s="28" t="n">
        <x:v>0</x:v>
      </x:c>
      <x:c r="K8" s="28" t="str">
        <x:v>MVCP</x:v>
      </x:c>
      <x:c r="L8" s="28" t="str">
        <x:v>Sprint 3</x:v>
      </x:c>
    </x:row>
    <x:row r="9">
      <x:c r="A9" s="28" t="str">
        <x:v>EPIC-07</x:v>
      </x:c>
      <x:c r="B9" s="28" t="str">
        <x:v>CAMPAIGN</x:v>
      </x:c>
      <x:c r="C9" s="28" t="str">
        <x:v>Campaign Scenario &amp; Content OS</x:v>
      </x:c>
      <x:c r="D9" s="28" t="str">
        <x:v>Campaign Scenario Library &amp; Content Operating System</x:v>
      </x:c>
      <x:c r="E9" s="28" t="str">
        <x:v>CPL-11، CPL-12، CPL-13، CPL-20</x:v>
      </x:c>
      <x:c r="F9" s="28" t="str">
        <x:v>ایجاد سناریوهای آماده و قابل فروش برای اکوپارک، ارم و برج میلاد و مدیریت تقویم کمپین، پیام‌ها، مأموریت‌ها و محتوای روزانه.</x:v>
      </x:c>
      <x:c r="G9" s="28" t="n">
        <x:v>5</x:v>
      </x:c>
      <x:c r="H9" s="28" t="n">
        <x:v>3</x:v>
      </x:c>
      <x:c r="I9" s="28" t="n">
        <x:v>2</x:v>
      </x:c>
      <x:c r="J9" s="28" t="n">
        <x:v>0</x:v>
      </x:c>
      <x:c r="K9" s="28" t="str">
        <x:v>MVP+MVCP</x:v>
      </x:c>
      <x:c r="L9" s="28" t="str">
        <x:v>Sprint 2</x:v>
      </x:c>
    </x:row>
    <x:row r="10">
      <x:c r="A10" s="28" t="str">
        <x:v>EPIC-08</x:v>
      </x:c>
      <x:c r="B10" s="28" t="str">
        <x:v>QR</x:v>
      </x:c>
      <x:c r="C10" s="28" t="str">
        <x:v>QR &amp; Scan Validation Engine</x:v>
      </x:c>
      <x:c r="D10" s="28" t="str">
        <x:v>QR, Touchpoint &amp; Scan Validation Engine</x:v>
      </x:c>
      <x:c r="E10" s="28" t="str">
        <x:v>CPL-05، CPL-16، CPL-19، CPL-20، CPL-21</x:v>
      </x:c>
      <x:c r="F10" s="28" t="str">
        <x:v>تولید، نصب، اعتبارسنجی، ردیابی و کنترل سوءاستفاده QRها به‌عنوان نقطه اتصال مکان، رسانه، کمپین، مأموریت و پاداش.</x:v>
      </x:c>
      <x:c r="G10" s="28" t="n">
        <x:v>6</x:v>
      </x:c>
      <x:c r="H10" s="28" t="n">
        <x:v>4</x:v>
      </x:c>
      <x:c r="I10" s="28" t="n">
        <x:v>2</x:v>
      </x:c>
      <x:c r="J10" s="28" t="n">
        <x:v>0</x:v>
      </x:c>
      <x:c r="K10" s="28" t="str">
        <x:v>MVP</x:v>
      </x:c>
      <x:c r="L10" s="28" t="str">
        <x:v>Sprint 1</x:v>
      </x:c>
    </x:row>
    <x:row r="11">
      <x:c r="A11" s="28" t="str">
        <x:v>EPIC-09</x:v>
      </x:c>
      <x:c r="B11" s="28" t="str">
        <x:v>QUEST</x:v>
      </x:c>
      <x:c r="C11" s="28" t="str">
        <x:v>Quest &amp; Mission Execution</x:v>
      </x:c>
      <x:c r="D11" s="28" t="str">
        <x:v>Quest Engine &amp; Mission Execution</x:v>
      </x:c>
      <x:c r="E11" s="28" t="str">
        <x:v>CPL-11، CPL-19، CPL-20، CPL-23</x:v>
      </x:c>
      <x:c r="F11" s="28" t="str">
        <x:v>اجرای مأموریت‌های قابل سنجش در سناریوهای مختلف با ثبت پیشرفت، اعتبارسنجی تکمیل، اتصال به پاداش و رعایت تجربه ساده کاربر.</x:v>
      </x:c>
      <x:c r="G11" s="28" t="n">
        <x:v>6</x:v>
      </x:c>
      <x:c r="H11" s="28" t="n">
        <x:v>4</x:v>
      </x:c>
      <x:c r="I11" s="28" t="n">
        <x:v>2</x:v>
      </x:c>
      <x:c r="J11" s="28" t="n">
        <x:v>0</x:v>
      </x:c>
      <x:c r="K11" s="28" t="str">
        <x:v>MVP</x:v>
      </x:c>
      <x:c r="L11" s="28" t="str">
        <x:v>Sprint 2</x:v>
      </x:c>
    </x:row>
    <x:row r="12">
      <x:c r="A12" s="28" t="str">
        <x:v>EPIC-10</x:v>
      </x:c>
      <x:c r="B12" s="28" t="str">
        <x:v>REWARD</x:v>
      </x:c>
      <x:c r="C12" s="28" t="str">
        <x:v>Reward, Coupon &amp; Fraud Control</x:v>
      </x:c>
      <x:c r="D12" s="28" t="str">
        <x:v>Reward, Points, Coupon, Redemption &amp; Fraud Control</x:v>
      </x:c>
      <x:c r="E12" s="28" t="str">
        <x:v>CPL-01، CPL-14، CPL-16، CPL-20، CPL-22، CPL-24</x:v>
      </x:c>
      <x:c r="F12" s="28" t="str">
        <x:v>صدور امتیاز، کوپن، تخفیف، جایزه یا تجربه ویژه و کنترل مصرف امن، یک‌بارمصرف، قابل ردیابی و قابل انتساب به Merchant/Campaign.</x:v>
      </x:c>
      <x:c r="G12" s="28" t="n">
        <x:v>6</x:v>
      </x:c>
      <x:c r="H12" s="28" t="n">
        <x:v>4</x:v>
      </x:c>
      <x:c r="I12" s="28" t="n">
        <x:v>2</x:v>
      </x:c>
      <x:c r="J12" s="28" t="n">
        <x:v>0</x:v>
      </x:c>
      <x:c r="K12" s="28" t="str">
        <x:v>MVP</x:v>
      </x:c>
      <x:c r="L12" s="28" t="str">
        <x:v>Sprint 2</x:v>
      </x:c>
    </x:row>
    <x:row r="13">
      <x:c r="A13" s="28" t="str">
        <x:v>EPIC-11</x:v>
      </x:c>
      <x:c r="B13" s="28" t="str">
        <x:v>MERCH</x:v>
      </x:c>
      <x:c r="C13" s="28" t="str">
        <x:v>Merchant Onboarding &amp; Dashboard</x:v>
      </x:c>
      <x:c r="D13" s="28" t="str">
        <x:v>Merchant Onboarding, Packages &amp; Dashboard</x:v>
      </x:c>
      <x:c r="E13" s="28" t="str">
        <x:v>CPL-01، CPL-14، CPL-15، CPL-20</x:v>
      </x:c>
      <x:c r="F13" s="28" t="str">
        <x:v>ورود کسب‌وکارها به اکوسیستم با پکیج تجاری، QR اختصاصی، تعهد پاداش، آموزش پذیرش و گزارش عملکرد قابل فروش.</x:v>
      </x:c>
      <x:c r="G13" s="28" t="n">
        <x:v>6</x:v>
      </x:c>
      <x:c r="H13" s="28" t="n">
        <x:v>4</x:v>
      </x:c>
      <x:c r="I13" s="28" t="n">
        <x:v>2</x:v>
      </x:c>
      <x:c r="J13" s="28" t="n">
        <x:v>0</x:v>
      </x:c>
      <x:c r="K13" s="28" t="str">
        <x:v>MVP+MVCP</x:v>
      </x:c>
      <x:c r="L13" s="28" t="str">
        <x:v>Sprint 4</x:v>
      </x:c>
    </x:row>
    <x:row r="14">
      <x:c r="A14" s="28" t="str">
        <x:v>EPIC-12</x:v>
      </x:c>
      <x:c r="B14" s="28" t="str">
        <x:v>COMM</x:v>
      </x:c>
      <x:c r="C14" s="28" t="str">
        <x:v>Commercial Agreements &amp; Settlement</x:v>
      </x:c>
      <x:c r="D14" s="28" t="str">
        <x:v>Contracts, Revenue Share &amp; Settlement Control</x:v>
      </x:c>
      <x:c r="E14" s="28" t="str">
        <x:v>CPL-01، CPL-04، CPL-14، CPL-15، CPL-20</x:v>
      </x:c>
      <x:c r="F14" s="28" t="str">
        <x:v>ثبت ساختار تجاری پایلوت شامل جریان درآمد، سهم طرفین، پکیج‌ها، تسویه، اسپانسرینگ و منطق انتساب درآمد.</x:v>
      </x:c>
      <x:c r="G14" s="28" t="n">
        <x:v>5</x:v>
      </x:c>
      <x:c r="H14" s="28" t="n">
        <x:v>2</x:v>
      </x:c>
      <x:c r="I14" s="28" t="n">
        <x:v>2</x:v>
      </x:c>
      <x:c r="J14" s="28" t="n">
        <x:v>1</x:v>
      </x:c>
      <x:c r="K14" s="28" t="str">
        <x:v>MVCP</x:v>
      </x:c>
      <x:c r="L14" s="28" t="str">
        <x:v>Sprint 4</x:v>
      </x:c>
    </x:row>
    <x:row r="15">
      <x:c r="A15" s="28" t="str">
        <x:v>EPIC-13</x:v>
      </x:c>
      <x:c r="B15" s="28" t="str">
        <x:v>EVENT</x:v>
      </x:c>
      <x:c r="C15" s="28" t="str">
        <x:v>Event Tracking &amp; Data Dictionary</x:v>
      </x:c>
      <x:c r="D15" s="28" t="str">
        <x:v>Event Tracking, Data Dictionary &amp; Quality Flags</x:v>
      </x:c>
      <x:c r="E15" s="28" t="str">
        <x:v>CPL-03، CPL-19، CPL-20</x:v>
      </x:c>
      <x:c r="F15" s="28" t="str">
        <x:v>تعریف رویدادهای قابل اتکا برای داشبورد، Attribution، خط مبنا، گزارش ROI و تصمیم هیئت‌مدیره.</x:v>
      </x:c>
      <x:c r="G15" s="28" t="n">
        <x:v>5</x:v>
      </x:c>
      <x:c r="H15" s="28" t="n">
        <x:v>3</x:v>
      </x:c>
      <x:c r="I15" s="28" t="n">
        <x:v>2</x:v>
      </x:c>
      <x:c r="J15" s="28" t="n">
        <x:v>0</x:v>
      </x:c>
      <x:c r="K15" s="28" t="str">
        <x:v>MVP+MVCP</x:v>
      </x:c>
      <x:c r="L15" s="28" t="str">
        <x:v>Sprint 2</x:v>
      </x:c>
    </x:row>
    <x:row r="16">
      <x:c r="A16" s="28" t="str">
        <x:v>EPIC-14</x:v>
      </x:c>
      <x:c r="B16" s="28" t="str">
        <x:v>ANALYTICS</x:v>
      </x:c>
      <x:c r="C16" s="28" t="str">
        <x:v>Analytics, Attribution &amp; Decision Gate</x:v>
      </x:c>
      <x:c r="D16" s="28" t="str">
        <x:v>Analytics, Attribution, KPI &amp; Board Decision Gate</x:v>
      </x:c>
      <x:c r="E16" s="28" t="str">
        <x:v>CPL-03، CPL-04، CPL-19، CPL-20، CPL-25</x:v>
      </x:c>
      <x:c r="F16" s="28" t="str">
        <x:v>ارائه داشبوردهای روزانه، تجاری، رسانه‌ای، عملیاتی و نهایی برای اثبات تعامل، درآمدزایی، Attribution و تصمیم توسعه/تکرار/توقف.</x:v>
      </x:c>
      <x:c r="G16" s="28" t="n">
        <x:v>6</x:v>
      </x:c>
      <x:c r="H16" s="28" t="n">
        <x:v>4</x:v>
      </x:c>
      <x:c r="I16" s="28" t="n">
        <x:v>2</x:v>
      </x:c>
      <x:c r="J16" s="28" t="n">
        <x:v>0</x:v>
      </x:c>
      <x:c r="K16" s="28" t="str">
        <x:v>MVP+MVCP</x:v>
      </x:c>
      <x:c r="L16" s="28" t="str">
        <x:v>Sprint 5</x:v>
      </x:c>
    </x:row>
    <x:row r="17">
      <x:c r="A17" s="28" t="str">
        <x:v>EPIC-15</x:v>
      </x:c>
      <x:c r="B17" s="28" t="str">
        <x:v>ADMIN</x:v>
      </x:c>
      <x:c r="C17" s="28" t="str">
        <x:v>Admin Governance, RACI &amp; Permissions</x:v>
      </x:c>
      <x:c r="D17" s="28" t="str">
        <x:v>Admin Console, Governance, RACI &amp; Permissions</x:v>
      </x:c>
      <x:c r="E17" s="28" t="str">
        <x:v>CPL-02، CPL-17، CPL-18، CPL-26</x:v>
      </x:c>
      <x:c r="F17" s="28" t="str">
        <x:v>مدیریت کل اکوسیستم پایلوت با دسترسی مبتنی بر نقش، RACI، Audit Log و کنترل تغییرات حساس.</x:v>
      </x:c>
      <x:c r="G17" s="28" t="n">
        <x:v>5</x:v>
      </x:c>
      <x:c r="H17" s="28" t="n">
        <x:v>3</x:v>
      </x:c>
      <x:c r="I17" s="28" t="n">
        <x:v>2</x:v>
      </x:c>
      <x:c r="J17" s="28" t="n">
        <x:v>0</x:v>
      </x:c>
      <x:c r="K17" s="28" t="str">
        <x:v>MVP</x:v>
      </x:c>
      <x:c r="L17" s="28" t="str">
        <x:v>Sprint 4</x:v>
      </x:c>
    </x:row>
    <x:row r="18">
      <x:c r="A18" s="28" t="str">
        <x:v>EPIC-16</x:v>
      </x:c>
      <x:c r="B18" s="28" t="str">
        <x:v>SUPPORT</x:v>
      </x:c>
      <x:c r="C18" s="28" t="str">
        <x:v>Support, Complaints &amp; Incidents</x:v>
      </x:c>
      <x:c r="D18" s="28" t="str">
        <x:v>Support, Complaint Handling &amp; Incident Management</x:v>
      </x:c>
      <x:c r="E18" s="28" t="str">
        <x:v>CPL-17، CPL-21، CPL-22، CPL-23</x:v>
      </x:c>
      <x:c r="F18" s="28" t="str">
        <x:v>مدیریت مشکلات کاربر، QR، پاداش، فروشگاه، حریم خصوصی، تجهیزات و رخدادهای میدانی با سطح‌بندی و پاسخ‌گویی شفاف.</x:v>
      </x:c>
      <x:c r="G18" s="28" t="n">
        <x:v>5</x:v>
      </x:c>
      <x:c r="H18" s="28" t="n">
        <x:v>3</x:v>
      </x:c>
      <x:c r="I18" s="28" t="n">
        <x:v>2</x:v>
      </x:c>
      <x:c r="J18" s="28" t="n">
        <x:v>0</x:v>
      </x:c>
      <x:c r="K18" s="28" t="str">
        <x:v>MVP+MVCP</x:v>
      </x:c>
      <x:c r="L18" s="28" t="str">
        <x:v>Sprint 5</x:v>
      </x:c>
    </x:row>
    <x:row r="19">
      <x:c r="A19" s="28" t="str">
        <x:v>EPIC-17</x:v>
      </x:c>
      <x:c r="B19" s="28" t="str">
        <x:v>OFFLINE</x:v>
      </x:c>
      <x:c r="C19" s="28" t="str">
        <x:v>Offline &amp; Manual Fallback</x:v>
      </x:c>
      <x:c r="D19" s="28" t="str">
        <x:v>Offline / Low Connectivity &amp; Manual Fallback</x:v>
      </x:c>
      <x:c r="E19" s="28" t="str">
        <x:v>CPL-21، CPL-07، CPL-08، CPL-19</x:v>
      </x:c>
      <x:c r="F19" s="28" t="str">
        <x:v>حفظ تجربه کاربر و کیفیت داده در شرایط ضعف اینترنت، باز نشدن QR، قطع داشبورد یا نیاز به ثبت دستی در میدان.</x:v>
      </x:c>
      <x:c r="G19" s="28" t="n">
        <x:v>5</x:v>
      </x:c>
      <x:c r="H19" s="28" t="n">
        <x:v>2</x:v>
      </x:c>
      <x:c r="I19" s="28" t="n">
        <x:v>2</x:v>
      </x:c>
      <x:c r="J19" s="28" t="n">
        <x:v>1</x:v>
      </x:c>
      <x:c r="K19" s="28" t="str">
        <x:v>MVCP</x:v>
      </x:c>
      <x:c r="L19" s="28" t="str">
        <x:v>Sprint 5</x:v>
      </x:c>
    </x:row>
    <x:row r="20">
      <x:c r="A20" s="28" t="str">
        <x:v>EPIC-18</x:v>
      </x:c>
      <x:c r="B20" s="28" t="str">
        <x:v>DATA</x:v>
      </x:c>
      <x:c r="C20" s="28" t="str">
        <x:v>Data Ownership, Privacy &amp; Security</x:v>
      </x:c>
      <x:c r="D20" s="28" t="str">
        <x:v>Data Ownership, Privacy, Security &amp; Retention</x:v>
      </x:c>
      <x:c r="E20" s="28" t="str">
        <x:v>CPL-17، CPL-18، CPL-19، CPL-23</x:v>
      </x:c>
      <x:c r="F20" s="28" t="str">
        <x:v>حفظ اعتماد کاربران، میزبان و کسب‌وکارها با حداقل‌گرایی داده، مالکیت شفاف داده، دسترسی محدود، نگهداری کنترل‌شده و آمادگی حذف/غیرفعال‌سازی.</x:v>
      </x:c>
      <x:c r="G20" s="28" t="n">
        <x:v>6</x:v>
      </x:c>
      <x:c r="H20" s="28" t="n">
        <x:v>4</x:v>
      </x:c>
      <x:c r="I20" s="28" t="n">
        <x:v>2</x:v>
      </x:c>
      <x:c r="J20" s="28" t="n">
        <x:v>0</x:v>
      </x:c>
      <x:c r="K20" s="28" t="str">
        <x:v>MVP</x:v>
      </x:c>
      <x:c r="L20" s="28" t="str">
        <x:v>Sprint 4</x:v>
      </x:c>
    </x:row>
    <x:row r="21">
      <x:c r="A21" s="28" t="str">
        <x:v>EPIC-19</x:v>
      </x:c>
      <x:c r="B21" s="28" t="str">
        <x:v>EXIT</x:v>
      </x:c>
      <x:c r="C21" s="28" t="str">
        <x:v>Pilot Exit, Transition &amp; Launch Kit</x:v>
      </x:c>
      <x:c r="D21" s="28" t="str">
        <x:v>Pilot Exit, Transition, Launch Kit &amp; Multi-Venue Scaling</x:v>
      </x:c>
      <x:c r="E21" s="28" t="str">
        <x:v>CPL-06، CPL-24، CPL-25، CPL-26</x:v>
      </x:c>
      <x:c r="F21" s="28" t="str">
        <x:v>مدیریت پایان پایلوت، تمدید یا توقف، جمع‌آوری/تمدید QRها، پاداش‌های مصرف‌نشده، گزارش ذی‌نفعان و تکرارپذیری برای Venueهای بعدی.</x:v>
      </x:c>
      <x:c r="G21" s="28" t="n">
        <x:v>5</x:v>
      </x:c>
      <x:c r="H21" s="28" t="n">
        <x:v>3</x:v>
      </x:c>
      <x:c r="I21" s="28" t="n">
        <x:v>2</x:v>
      </x:c>
      <x:c r="J21" s="28" t="n">
        <x:v>0</x:v>
      </x:c>
      <x:c r="K21" s="28" t="str">
        <x:v>MVCP</x:v>
      </x:c>
      <x:c r="L21" s="28" t="str">
        <x:v>Sprint 5</x:v>
      </x:c>
    </x:row>
  </x:sheetData>
  <x:pageMargins left="0.7" right="0.7" top="0.75" bottom="0.75" header="0.3" footer="0.3"/>
  <x:tableParts count="1">
    <x:tablePart xmlns:r="http://schemas.openxmlformats.org/officeDocument/2006/relationships" r:id="Rc89b9104290549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</x:cols>
  <x:sheetData>
    <x:row r="1" ht="28" customHeight="1">
      <x:c r="A1" s="21" t="str">
        <x:v>Sprint</x:v>
      </x:c>
      <x:c r="B1" s="21" t="str">
        <x:v>Theme</x:v>
      </x:c>
      <x:c r="C1" s="21" t="str">
        <x:v>Modules</x:v>
      </x:c>
      <x:c r="D1" s="21" t="str">
        <x:v>Focus</x:v>
      </x:c>
      <x:c r="E1" s="21" t="str">
        <x:v>Exit Criteria</x:v>
      </x:c>
    </x:row>
    <x:row r="2">
      <x:c r="A2" s="28" t="str">
        <x:v>Sprint 0</x:v>
      </x:c>
      <x:c r="B2" s="28" t="str">
        <x:v>Backlog &amp; Scope Foundation</x:v>
      </x:c>
      <x:c r="C2" s="28" t="str">
        <x:v>REL</x:v>
      </x:c>
      <x:c r="D2" s="28" t="str">
        <x:v>Traceability, Release Boundaries, Change Control</x:v>
      </x:c>
      <x:c r="E2" s="28" t="str">
        <x:v>همه Storyها trace، scope و اولویت داشته باشند.</x:v>
      </x:c>
    </x:row>
    <x:row r="3">
      <x:c r="A3" s="28" t="str">
        <x:v>Sprint 1</x:v>
      </x:c>
      <x:c r="B3" s="28" t="str">
        <x:v>User Entry + Venue + QR Core</x:v>
      </x:c>
      <x:c r="C3" s="28" t="str">
        <x:v>AUTH, VENUE, QR</x:v>
      </x:c>
      <x:c r="D3" s="28" t="str">
        <x:v>PWA access, Venue model, QR registry &amp; validation پایه</x:v>
      </x:c>
      <x:c r="E3" s="28" t="str">
        <x:v>کاربر بتواند QR را اسکن کند، وارد شود و اسکن قابل انتساب ثبت شود.</x:v>
      </x:c>
    </x:row>
    <x:row r="4">
      <x:c r="A4" s="28" t="str">
        <x:v>Sprint 2</x:v>
      </x:c>
      <x:c r="B4" s="28" t="str">
        <x:v>Event + Campaign + Quest + Reward Core</x:v>
      </x:c>
      <x:c r="C4" s="28" t="str">
        <x:v>EVENT, CAMPAIGN, QUEST, REWARD</x:v>
      </x:c>
      <x:c r="D4" s="28" t="str">
        <x:v>Event dictionary, campaign scenarios, missions, reward issuance</x:v>
      </x:c>
      <x:c r="E4" s="28" t="str">
        <x:v>قیف scan to reward در حالت پایه کار کند.</x:v>
      </x:c>
    </x:row>
    <x:row r="5">
      <x:c r="A5" s="28" t="str">
        <x:v>Sprint 3</x:v>
      </x:c>
      <x:c r="B5" s="28" t="str">
        <x:v>MVCP Field Operations</x:v>
      </x:c>
      <x:c r="C5" s="28" t="str">
        <x:v>PILOT, AMB, ASSET, MEDIA</x:v>
      </x:c>
      <x:c r="D5" s="28" t="str">
        <x:v>Pilot runbook, ambassadors, hardware/assets, media schedule</x:v>
      </x:c>
      <x:c r="E5" s="28" t="str">
        <x:v>پایلوت واقعی بتواند روزانه مدیریت و گزارش شود.</x:v>
      </x:c>
    </x:row>
    <x:row r="6">
      <x:c r="A6" s="28" t="str">
        <x:v>Sprint 4</x:v>
      </x:c>
      <x:c r="B6" s="28" t="str">
        <x:v>Commercial, Merchant, Admin, Data Governance</x:v>
      </x:c>
      <x:c r="C6" s="28" t="str">
        <x:v>MERCH, COMM, ADMIN, DATA</x:v>
      </x:c>
      <x:c r="D6" s="28" t="str">
        <x:v>Merchant packages, agreements, permissions, privacy</x:v>
      </x:c>
      <x:c r="E6" s="28" t="str">
        <x:v>کسب‌وکار، قرارداد، دسترسی و داده با کنترل پایه آماده باشد.</x:v>
      </x:c>
    </x:row>
    <x:row r="7">
      <x:c r="A7" s="28" t="str">
        <x:v>Sprint 5</x:v>
      </x:c>
      <x:c r="B7" s="28" t="str">
        <x:v>Analytics, Support, Offline, Exit</x:v>
      </x:c>
      <x:c r="C7" s="28" t="str">
        <x:v>ANALYTICS, SUPPORT, OFFLINE, EXIT</x:v>
      </x:c>
      <x:c r="D7" s="28" t="str">
        <x:v>Board report, attribution, issue handling, offline fallback, closure</x:v>
      </x:c>
      <x:c r="E7" s="28" t="str">
        <x:v>گزارش هیئت‌مدیره و دروازه تصمیم پایلوت آماده باشد.</x:v>
      </x:c>
    </x:row>
    <x:row r="8">
      <x:c r="A8" s="28" t="str">
        <x:v>Sprint 6</x:v>
      </x:c>
      <x:c r="B8" s="28" t="str">
        <x:v>Pilot Hardening &amp; UAT</x:v>
      </x:c>
      <x:c r="C8" s="28" t="str">
        <x:v>All</x:v>
      </x:c>
      <x:c r="D8" s="28" t="str">
        <x:v>QA, UAT, field rehearsal, bug fixing, final runbook</x:v>
      </x:c>
      <x:c r="E8" s="28" t="str">
        <x:v>آمادگی اجرای MVCP در اکوپارک/ارم/برج میلاد تأیید شود.</x:v>
      </x:c>
    </x:row>
  </x:sheetData>
  <x:pageMargins left="0.7" right="0.7" top="0.75" bottom="0.75" header="0.3" footer="0.3"/>
  <x:tableParts count="1">
    <x:tablePart xmlns:r="http://schemas.openxmlformats.org/officeDocument/2006/relationships" r:id="R929e330fd89246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34" hidden="0" customWidth="1"/>
  </x:cols>
  <x:sheetData>
    <x:row r="1" ht="28" customHeight="1">
      <x:c r="A1" s="21" t="str">
        <x:v>CPL Code</x:v>
      </x:c>
      <x:c r="B1" s="21" t="str">
        <x:v>Linked Story Count</x:v>
      </x:c>
      <x:c r="C1" s="21" t="str">
        <x:v>Modules</x:v>
      </x:c>
      <x:c r="D1" s="21" t="str">
        <x:v>Req IDs</x:v>
      </x:c>
      <x:c r="E1" s="21" t="str">
        <x:v>Story IDs</x:v>
      </x:c>
    </x:row>
    <x:row r="2">
      <x:c r="A2" s="28" t="str">
        <x:v>CPL-01</x:v>
      </x:c>
      <x:c r="B2" s="28" t="n">
        <x:v>21</x:v>
      </x:c>
      <x:c r="C2" s="28" t="str">
        <x:v>COMM, MERCH, REL, REWARD</x:v>
      </x:c>
      <x:c r="D2" s="28" t="str">
        <x:v>COMM-001, COMM-002, COMM-003, COMM-004, COMM-005, MERCH-001, MERCH-002, MERCH-003, MERCH-004, MERCH-005, MERCH-006, REL-001, REL-002, REL-003, REL-004, REWARD-001, REWARD-002, REWARD-003, REWARD-004, REWARD-005, REWARD-006</x:v>
      </x:c>
      <x:c r="E2" s="28" t="str">
        <x:v>US-001, US-002, US-003, US-004, US-055, US-056, US-057, US-058, US-059, US-060, US-061, US-062, US-063, US-064, US-065, US-066, US-067, US-068, US-069, US-070, US-071</x:v>
      </x:c>
    </x:row>
    <x:row r="3">
      <x:c r="A3" s="28" t="str">
        <x:v>CPL-02</x:v>
      </x:c>
      <x:c r="B3" s="28" t="n">
        <x:v>9</x:v>
      </x:c>
      <x:c r="C3" s="28" t="str">
        <x:v>ADMIN, REL</x:v>
      </x:c>
      <x:c r="D3" s="28" t="str">
        <x:v>ADMIN-001, ADMIN-002, ADMIN-003, ADMIN-004, ADMIN-005, REL-001, REL-002, REL-003, REL-004</x:v>
      </x:c>
      <x:c r="E3" s="28" t="str">
        <x:v>US-001, US-002, US-003, US-004, US-083, US-084, US-085, US-086, US-087</x:v>
      </x:c>
    </x:row>
    <x:row r="4">
      <x:c r="A4" s="28" t="str">
        <x:v>CPL-03</x:v>
      </x:c>
      <x:c r="B4" s="28" t="n">
        <x:v>21</x:v>
      </x:c>
      <x:c r="C4" s="28" t="str">
        <x:v>ANALYTICS, EVENT, PILOT, REL</x:v>
      </x:c>
      <x:c r="D4" s="28" t="str">
        <x:v>ANALYTICS-001, ANALYTICS-002, ANALYTICS-003, ANALYTICS-004, ANALYTICS-005, ANALYTICS-006, EVENT-001, EVENT-002, EVENT-003, EVENT-004, EVENT-005, PILOT-001, PILOT-002, PILOT-003, PILOT-004, PILOT-005, PILOT-006, REL-001, REL-002, REL-003, REL-004</x:v>
      </x:c>
      <x:c r="E4" s="28" t="str">
        <x:v>US-001, US-002, US-003, US-004, US-017, US-018, US-019, US-020, US-021, US-022, US-072, US-073, US-074, US-075, US-076, US-077, US-078, US-079, US-080, US-081, US-082</x:v>
      </x:c>
    </x:row>
    <x:row r="5">
      <x:c r="A5" s="28" t="str">
        <x:v>CPL-04</x:v>
      </x:c>
      <x:c r="B5" s="28" t="n">
        <x:v>15</x:v>
      </x:c>
      <x:c r="C5" s="28" t="str">
        <x:v>ANALYTICS, COMM, REL</x:v>
      </x:c>
      <x:c r="D5" s="28" t="str">
        <x:v>ANALYTICS-001, ANALYTICS-002, ANALYTICS-003, ANALYTICS-004, ANALYTICS-005, ANALYTICS-006, COMM-001, COMM-002, COMM-003, COMM-004, COMM-005, REL-001, REL-002, REL-003, REL-004</x:v>
      </x:c>
      <x:c r="E5" s="28" t="str">
        <x:v>US-001, US-002, US-003, US-004, US-067, US-068, US-069, US-070, US-071, US-077, US-078, US-079, US-080, US-081, US-082</x:v>
      </x:c>
    </x:row>
    <x:row r="6">
      <x:c r="A6" s="28" t="str">
        <x:v>CPL-05</x:v>
      </x:c>
      <x:c r="B6" s="28" t="n">
        <x:v>16</x:v>
      </x:c>
      <x:c r="C6" s="28" t="str">
        <x:v>QR, REL, VENUE</x:v>
      </x:c>
      <x:c r="D6" s="28" t="str">
        <x:v>QR-001, QR-002, QR-003, QR-004, QR-005, QR-006, REL-001, REL-002, REL-003, REL-004, VENUE-001, VENUE-002, VENUE-003, VENUE-004, VENUE-005, VENUE-006</x:v>
      </x:c>
      <x:c r="E6" s="28" t="str">
        <x:v>US-001, US-002, US-003, US-004, US-011, US-012, US-013, US-014, US-015, US-016, US-043, US-044, US-045, US-046, US-047, US-048</x:v>
      </x:c>
    </x:row>
    <x:row r="7">
      <x:c r="A7" s="28" t="str">
        <x:v>CPL-06</x:v>
      </x:c>
      <x:c r="B7" s="28" t="n">
        <x:v>15</x:v>
      </x:c>
      <x:c r="C7" s="28" t="str">
        <x:v>EXIT, REL, VENUE</x:v>
      </x:c>
      <x:c r="D7" s="28" t="str">
        <x:v>EXIT-001, EXIT-002, EXIT-003, EXIT-004, EXIT-005, REL-001, REL-002, REL-003, REL-004, VENUE-001, VENUE-002, VENUE-003, VENUE-004, VENUE-005, VENUE-006</x:v>
      </x:c>
      <x:c r="E7" s="28" t="str">
        <x:v>US-001, US-002, US-003, US-004, US-011, US-012, US-013, US-014, US-015, US-016, US-104, US-105, US-106, US-107, US-108</x:v>
      </x:c>
    </x:row>
    <x:row r="8">
      <x:c r="A8" s="28" t="str">
        <x:v>CPL-07</x:v>
      </x:c>
      <x:c r="B8" s="28" t="n">
        <x:v>15</x:v>
      </x:c>
      <x:c r="C8" s="28" t="str">
        <x:v>OFFLINE, PILOT, REL</x:v>
      </x:c>
      <x:c r="D8" s="28" t="str">
        <x:v>OFF-001, OFF-002, OFF-003, OFF-004, OFF-005, PILOT-001, PILOT-002, PILOT-003, PILOT-004, PILOT-005, PILOT-006, REL-001, REL-002, REL-003, REL-004</x:v>
      </x:c>
      <x:c r="E8" s="28" t="str">
        <x:v>US-001, US-002, US-003, US-004, US-017, US-018, US-019, US-020, US-021, US-022, US-093, US-094, US-095, US-096, US-097</x:v>
      </x:c>
    </x:row>
    <x:row r="9">
      <x:c r="A9" s="28" t="str">
        <x:v>CPL-08</x:v>
      </x:c>
      <x:c r="B9" s="28" t="n">
        <x:v>20</x:v>
      </x:c>
      <x:c r="C9" s="28" t="str">
        <x:v>AMB, OFFLINE, PILOT, REL</x:v>
      </x:c>
      <x:c r="D9" s="28" t="str">
        <x:v>AMB-001, AMB-002, AMB-003, AMB-004, AMB-005, OFF-001, OFF-002, OFF-003, OFF-004, OFF-005, PILOT-001, PILOT-002, PILOT-003, PILOT-004, PILOT-005, PILOT-006, REL-001, REL-002, REL-003, REL-004</x:v>
      </x:c>
      <x:c r="E9" s="28" t="str">
        <x:v>US-001, US-002, US-003, US-004, US-017, US-018, US-019, US-020, US-021, US-022, US-023, US-024, US-025, US-026, US-027, US-093, US-094, US-095, US-096, US-097</x:v>
      </x:c>
    </x:row>
    <x:row r="10">
      <x:c r="A10" s="28" t="str">
        <x:v>CPL-09</x:v>
      </x:c>
      <x:c r="B10" s="28" t="n">
        <x:v>9</x:v>
      </x:c>
      <x:c r="C10" s="28" t="str">
        <x:v>ASSET, REL</x:v>
      </x:c>
      <x:c r="D10" s="28" t="str">
        <x:v>ASSET-001, ASSET-002, ASSET-003, ASSET-004, ASSET-005, REL-001, REL-002, REL-003, REL-004</x:v>
      </x:c>
      <x:c r="E10" s="28" t="str">
        <x:v>US-001, US-002, US-003, US-004, US-028, US-029, US-030, US-031, US-032</x:v>
      </x:c>
    </x:row>
    <x:row r="11">
      <x:c r="A11" s="28" t="str">
        <x:v>CPL-10</x:v>
      </x:c>
      <x:c r="B11" s="28" t="n">
        <x:v>14</x:v>
      </x:c>
      <x:c r="C11" s="28" t="str">
        <x:v>ASSET, MEDIA, REL</x:v>
      </x:c>
      <x:c r="D11" s="28" t="str">
        <x:v>ASSET-001, ASSET-002, ASSET-003, ASSET-004, ASSET-005, MEDIA-001, MEDIA-002, MEDIA-003, MEDIA-004, MEDIA-005, REL-001, REL-002, REL-003, REL-004</x:v>
      </x:c>
      <x:c r="E11" s="28" t="str">
        <x:v>US-001, US-002, US-003, US-004, US-028, US-029, US-030, US-031, US-032, US-033, US-034, US-035, US-036, US-037</x:v>
      </x:c>
    </x:row>
    <x:row r="12">
      <x:c r="A12" s="28" t="str">
        <x:v>CPL-11</x:v>
      </x:c>
      <x:c r="B12" s="28" t="n">
        <x:v>15</x:v>
      </x:c>
      <x:c r="C12" s="28" t="str">
        <x:v>CAMPAIGN, QUEST, REL</x:v>
      </x:c>
      <x:c r="D12" s="28" t="str">
        <x:v>CAM-001, CAM-002, CAM-003, CAM-004, CAM-005, QUEST-001, QUEST-002, QUEST-003, QUEST-004, QUEST-005, QUEST-006, REL-001, REL-002, REL-003, REL-004</x:v>
      </x:c>
      <x:c r="E12" s="28" t="str">
        <x:v>US-001, US-002, US-003, US-004, US-038, US-039, US-040, US-041, US-042, US-049, US-050, US-051, US-052, US-053, US-054</x:v>
      </x:c>
    </x:row>
    <x:row r="13">
      <x:c r="A13" s="28" t="str">
        <x:v>CPL-12</x:v>
      </x:c>
      <x:c r="B13" s="28" t="n">
        <x:v>14</x:v>
      </x:c>
      <x:c r="C13" s="28" t="str">
        <x:v>CAMPAIGN, MEDIA, REL</x:v>
      </x:c>
      <x:c r="D13" s="28" t="str">
        <x:v>CAM-001, CAM-002, CAM-003, CAM-004, CAM-005, MEDIA-001, MEDIA-002, MEDIA-003, MEDIA-004, MEDIA-005, REL-001, REL-002, REL-003, REL-004</x:v>
      </x:c>
      <x:c r="E13" s="28" t="str">
        <x:v>US-001, US-002, US-003, US-004, US-033, US-034, US-035, US-036, US-037, US-038, US-039, US-040, US-041, US-042</x:v>
      </x:c>
    </x:row>
    <x:row r="14">
      <x:c r="A14" s="28" t="str">
        <x:v>CPL-13</x:v>
      </x:c>
      <x:c r="B14" s="28" t="n">
        <x:v>14</x:v>
      </x:c>
      <x:c r="C14" s="28" t="str">
        <x:v>CAMPAIGN, MEDIA, REL</x:v>
      </x:c>
      <x:c r="D14" s="28" t="str">
        <x:v>CAM-001, CAM-002, CAM-003, CAM-004, CAM-005, MEDIA-001, MEDIA-002, MEDIA-003, MEDIA-004, MEDIA-005, REL-001, REL-002, REL-003, REL-004</x:v>
      </x:c>
      <x:c r="E14" s="28" t="str">
        <x:v>US-001, US-002, US-003, US-004, US-033, US-034, US-035, US-036, US-037, US-038, US-039, US-040, US-041, US-042</x:v>
      </x:c>
    </x:row>
    <x:row r="15">
      <x:c r="A15" s="28" t="str">
        <x:v>CPL-14</x:v>
      </x:c>
      <x:c r="B15" s="28" t="n">
        <x:v>21</x:v>
      </x:c>
      <x:c r="C15" s="28" t="str">
        <x:v>COMM, MERCH, REL, REWARD</x:v>
      </x:c>
      <x:c r="D15" s="28" t="str">
        <x:v>COMM-001, COMM-002, COMM-003, COMM-004, COMM-005, MERCH-001, MERCH-002, MERCH-003, MERCH-004, MERCH-005, MERCH-006, REL-001, REL-002, REL-003, REL-004, REWARD-001, REWARD-002, REWARD-003, REWARD-004, REWARD-005, REWARD-006</x:v>
      </x:c>
      <x:c r="E15" s="28" t="str">
        <x:v>US-001, US-002, US-003, US-004, US-055, US-056, US-057, US-058, US-059, US-060, US-061, US-062, US-063, US-064, US-065, US-066, US-067, US-068, US-069, US-070, US-071</x:v>
      </x:c>
    </x:row>
    <x:row r="16">
      <x:c r="A16" s="28" t="str">
        <x:v>CPL-15</x:v>
      </x:c>
      <x:c r="B16" s="28" t="n">
        <x:v>15</x:v>
      </x:c>
      <x:c r="C16" s="28" t="str">
        <x:v>COMM, MERCH, REL</x:v>
      </x:c>
      <x:c r="D16" s="28" t="str">
        <x:v>COMM-001, COMM-002, COMM-003, COMM-004, COMM-005, MERCH-001, MERCH-002, MERCH-003, MERCH-004, MERCH-005, MERCH-006, REL-001, REL-002, REL-003, REL-004</x:v>
      </x:c>
      <x:c r="E16" s="28" t="str">
        <x:v>US-001, US-002, US-003, US-004, US-061, US-062, US-063, US-064, US-065, US-066, US-067, US-068, US-069, US-070, US-071</x:v>
      </x:c>
    </x:row>
    <x:row r="17">
      <x:c r="A17" s="28" t="str">
        <x:v>CPL-16</x:v>
      </x:c>
      <x:c r="B17" s="28" t="n">
        <x:v>16</x:v>
      </x:c>
      <x:c r="C17" s="28" t="str">
        <x:v>QR, REL, REWARD</x:v>
      </x:c>
      <x:c r="D17" s="28" t="str">
        <x:v>QR-001, QR-002, QR-003, QR-004, QR-005, QR-006, REL-001, REL-002, REL-003, REL-004, REWARD-001, REWARD-002, REWARD-003, REWARD-004, REWARD-005, REWARD-006</x:v>
      </x:c>
      <x:c r="E17" s="28" t="str">
        <x:v>US-001, US-002, US-003, US-004, US-043, US-044, US-045, US-046, US-047, US-048, US-055, US-056, US-057, US-058, US-059, US-060</x:v>
      </x:c>
    </x:row>
    <x:row r="18">
      <x:c r="A18" s="28" t="str">
        <x:v>CPL-17</x:v>
      </x:c>
      <x:c r="B18" s="28" t="n">
        <x:v>26</x:v>
      </x:c>
      <x:c r="C18" s="28" t="str">
        <x:v>ADMIN, AUTH, DATA, REL, SUPPORT</x:v>
      </x:c>
      <x:c r="D18" s="28" t="str">
        <x:v>ADMIN-001, ADMIN-002, ADMIN-003, ADMIN-004, ADMIN-005, AUTH-001, AUTH-002, AUTH-003, AUTH-004, AUTH-005, AUTH-006, DATA-001, DATA-002, DATA-003, DATA-004, DATA-005, DATA-006, REL-001, REL-002, REL-003, REL-004, SUPPORT-001, SUPPORT-002, SUPPORT-003, SUPPORT-004, SUPPORT-005</x:v>
      </x:c>
      <x:c r="E18" s="28" t="str">
        <x:v>US-001, US-002, US-003, US-004, US-005, US-006, US-007, US-008, US-009, US-010, US-083, US-084, US-085, US-086, US-087, US-088, US-089, US-090, US-091, US-092, US-098, US-099, US-100, US-101, US-102 ...</x:v>
      </x:c>
    </x:row>
    <x:row r="19">
      <x:c r="A19" s="28" t="str">
        <x:v>CPL-18</x:v>
      </x:c>
      <x:c r="B19" s="28" t="n">
        <x:v>21</x:v>
      </x:c>
      <x:c r="C19" s="28" t="str">
        <x:v>ADMIN, AUTH, DATA, REL</x:v>
      </x:c>
      <x:c r="D19" s="28" t="str">
        <x:v>ADMIN-001, ADMIN-002, ADMIN-003, ADMIN-004, ADMIN-005, AUTH-001, AUTH-002, AUTH-003, AUTH-004, AUTH-005, AUTH-006, DATA-001, DATA-002, DATA-003, DATA-004, DATA-005, DATA-006, REL-001, REL-002, REL-003, REL-004</x:v>
      </x:c>
      <x:c r="E19" s="28" t="str">
        <x:v>US-001, US-002, US-003, US-004, US-005, US-006, US-007, US-008, US-009, US-010, US-083, US-084, US-085, US-086, US-087, US-098, US-099, US-100, US-101, US-102, US-103</x:v>
      </x:c>
    </x:row>
    <x:row r="20">
      <x:c r="A20" s="28" t="str">
        <x:v>CPL-19</x:v>
      </x:c>
      <x:c r="B20" s="28" t="n">
        <x:v>38</x:v>
      </x:c>
      <x:c r="C20" s="28" t="str">
        <x:v>ANALYTICS, DATA, EVENT, OFFLINE, QR, QUEST, REL</x:v>
      </x:c>
      <x:c r="D20" s="28" t="str">
        <x:v>ANALYTICS-001, ANALYTICS-002, ANALYTICS-003, ANALYTICS-004, ANALYTICS-005, ANALYTICS-006, DATA-001, DATA-002, DATA-003, DATA-004, DATA-005, DATA-006, EVENT-001, EVENT-002, EVENT-003, EVENT-004, EVENT-005, OFF-001, OFF-002, OFF-003, OFF-004, OFF-005, QR-001, QR-002, QR-003, QR-004, QR-005, QR-006, QUEST-001, QUEST-002, QUEST-003, QUEST-004, QUEST-005, QUEST-006, REL-001, REL-002, REL-003, REL-004</x:v>
      </x:c>
      <x:c r="E20" s="28" t="str">
        <x:v>US-001, US-002, US-003, US-004, US-043, US-044, US-045, US-046, US-047, US-048, US-049, US-050, US-051, US-052, US-053, US-054, US-072, US-073, US-074, US-075, US-076, US-077, US-078, US-079, US-080 ...</x:v>
      </x:c>
    </x:row>
    <x:row r="21">
      <x:c r="A21" s="28" t="str">
        <x:v>CPL-20</x:v>
      </x:c>
      <x:c r="B21" s="28" t="n">
        <x:v>60</x:v>
      </x:c>
      <x:c r="C21" s="28" t="str">
        <x:v>ANALYTICS, CAMPAIGN, COMM, EVENT, MEDIA, MERCH, QR, QUEST, REL, REWARD, VENUE</x:v>
      </x:c>
      <x:c r="D21" s="28" t="str">
        <x:v>ANALYTICS-001, ANALYTICS-002, ANALYTICS-003, ANALYTICS-004, ANALYTICS-005, ANALYTICS-006, CAM-001, CAM-002, CAM-003, CAM-004, CAM-005, COMM-001, COMM-002, COMM-003, COMM-004, COMM-005, EVENT-001, EVENT-002, EVENT-003, EVENT-004, EVENT-005, MEDIA-001, MEDIA-002, MEDIA-003, MEDIA-004, MEDIA-005, MERCH-001, MERCH-002, MERCH-003, MERCH-004, MERCH-005, MERCH-006, QR-001, QR-002, QR-003, QR-004, QR-005, QR-006, QUEST-001, QUEST-002, QUEST-003, QUEST-004, QUEST-005, QUEST-006, REL-001, REL-002, REL-003, REL-004, REWARD-001, REWARD-002, REWARD-003, REWARD-004, REWARD-005, REWARD-006, VENUE-001, VENUE-002, VENUE-003, VENUE-004, VENUE-005, VENUE-006</x:v>
      </x:c>
      <x:c r="E21" s="28" t="str">
        <x:v>US-001, US-002, US-003, US-004, US-011, US-012, US-013, US-014, US-015, US-016, US-033, US-034, US-035, US-036, US-037, US-038, US-039, US-040, US-041, US-042, US-043, US-044, US-045, US-046, US-047 ...</x:v>
      </x:c>
    </x:row>
    <x:row r="22">
      <x:c r="A22" s="28" t="str">
        <x:v>CPL-21</x:v>
      </x:c>
      <x:c r="B22" s="28" t="n">
        <x:v>31</x:v>
      </x:c>
      <x:c r="C22" s="28" t="str">
        <x:v>ASSET, OFFLINE, PILOT, QR, REL, SUPPORT</x:v>
      </x:c>
      <x:c r="D22" s="28" t="str">
        <x:v>ASSET-001, ASSET-002, ASSET-003, ASSET-004, ASSET-005, OFF-001, OFF-002, OFF-003, OFF-004, OFF-005, PILOT-001, PILOT-002, PILOT-003, PILOT-004, PILOT-005, PILOT-006, QR-001, QR-002, QR-003, QR-004, QR-005, QR-006, REL-001, REL-002, REL-003, REL-004, SUPPORT-001, SUPPORT-002, SUPPORT-003, SUPPORT-004, SUPPORT-005</x:v>
      </x:c>
      <x:c r="E22" s="28" t="str">
        <x:v>US-001, US-002, US-003, US-004, US-017, US-018, US-019, US-020, US-021, US-022, US-028, US-029, US-030, US-031, US-032, US-043, US-044, US-045, US-046, US-047, US-048, US-088, US-089, US-090, US-091 ...</x:v>
      </x:c>
    </x:row>
    <x:row r="23">
      <x:c r="A23" s="28" t="str">
        <x:v>CPL-22</x:v>
      </x:c>
      <x:c r="B23" s="28" t="n">
        <x:v>20</x:v>
      </x:c>
      <x:c r="C23" s="28" t="str">
        <x:v>AMB, REL, REWARD, SUPPORT</x:v>
      </x:c>
      <x:c r="D23" s="28" t="str">
        <x:v>AMB-001, AMB-002, AMB-003, AMB-004, AMB-005, REL-001, REL-002, REL-003, REL-004, REWARD-001, REWARD-002, REWARD-003, REWARD-004, REWARD-005, REWARD-006, SUPPORT-001, SUPPORT-002, SUPPORT-003, SUPPORT-004, SUPPORT-005</x:v>
      </x:c>
      <x:c r="E23" s="28" t="str">
        <x:v>US-001, US-002, US-003, US-004, US-023, US-024, US-025, US-026, US-027, US-055, US-056, US-057, US-058, US-059, US-060, US-088, US-089, US-090, US-091, US-092</x:v>
      </x:c>
    </x:row>
    <x:row r="24">
      <x:c r="A24" s="28" t="str">
        <x:v>CPL-23</x:v>
      </x:c>
      <x:c r="B24" s="28" t="n">
        <x:v>32</x:v>
      </x:c>
      <x:c r="C24" s="28" t="str">
        <x:v>AMB, AUTH, DATA, QUEST, REL, SUPPORT</x:v>
      </x:c>
      <x:c r="D24" s="28" t="str">
        <x:v>AMB-001, AMB-002, AMB-003, AMB-004, AMB-005, AUTH-001, AUTH-002, AUTH-003, AUTH-004, AUTH-005, AUTH-006, DATA-001, DATA-002, DATA-003, DATA-004, DATA-005, DATA-006, QUEST-001, QUEST-002, QUEST-003, QUEST-004, QUEST-005, QUEST-006, REL-001, REL-002, REL-003, REL-004, SUPPORT-001, SUPPORT-002, SUPPORT-003, SUPPORT-004, SUPPORT-005</x:v>
      </x:c>
      <x:c r="E24" s="28" t="str">
        <x:v>US-001, US-002, US-003, US-004, US-005, US-006, US-007, US-008, US-009, US-010, US-023, US-024, US-025, US-026, US-027, US-049, US-050, US-051, US-052, US-053, US-054, US-088, US-089, US-090, US-091 ...</x:v>
      </x:c>
    </x:row>
    <x:row r="25">
      <x:c r="A25" s="28" t="str">
        <x:v>CPL-24</x:v>
      </x:c>
      <x:c r="B25" s="28" t="n">
        <x:v>21</x:v>
      </x:c>
      <x:c r="C25" s="28" t="str">
        <x:v>EXIT, PILOT, REL, REWARD</x:v>
      </x:c>
      <x:c r="D25" s="28" t="str">
        <x:v>EXIT-001, EXIT-002, EXIT-003, EXIT-004, EXIT-005, PILOT-001, PILOT-002, PILOT-003, PILOT-004, PILOT-005, PILOT-006, REL-001, REL-002, REL-003, REL-004, REWARD-001, REWARD-002, REWARD-003, REWARD-004, REWARD-005, REWARD-006</x:v>
      </x:c>
      <x:c r="E25" s="28" t="str">
        <x:v>US-001, US-002, US-003, US-004, US-017, US-018, US-019, US-020, US-021, US-022, US-055, US-056, US-057, US-058, US-059, US-060, US-104, US-105, US-106, US-107, US-108</x:v>
      </x:c>
    </x:row>
    <x:row r="26">
      <x:c r="A26" s="28" t="str">
        <x:v>CPL-25</x:v>
      </x:c>
      <x:c r="B26" s="28" t="n">
        <x:v>27</x:v>
      </x:c>
      <x:c r="C26" s="28" t="str">
        <x:v>ANALYTICS, EXIT, PILOT, REL, VENUE</x:v>
      </x:c>
      <x:c r="D26" s="28" t="str">
        <x:v>ANALYTICS-001, ANALYTICS-002, ANALYTICS-003, ANALYTICS-004, ANALYTICS-005, ANALYTICS-006, EXIT-001, EXIT-002, EXIT-003, EXIT-004, EXIT-005, PILOT-001, PILOT-002, PILOT-003, PILOT-004, PILOT-005, PILOT-006, REL-001, REL-002, REL-003, REL-004, VENUE-001, VENUE-002, VENUE-003, VENUE-004, VENUE-005, VENUE-006</x:v>
      </x:c>
      <x:c r="E26" s="28" t="str">
        <x:v>US-001, US-002, US-003, US-004, US-011, US-012, US-013, US-014, US-015, US-016, US-017, US-018, US-019, US-020, US-021, US-022, US-077, US-078, US-079, US-080, US-081, US-082, US-104, US-105, US-106 ...</x:v>
      </x:c>
    </x:row>
    <x:row r="27">
      <x:c r="A27" s="28" t="str">
        <x:v>CPL-26</x:v>
      </x:c>
      <x:c r="B27" s="28" t="n">
        <x:v>20</x:v>
      </x:c>
      <x:c r="C27" s="28" t="str">
        <x:v>ADMIN, AUTH, EXIT, REL</x:v>
      </x:c>
      <x:c r="D27" s="28" t="str">
        <x:v>ADMIN-001, ADMIN-002, ADMIN-003, ADMIN-004, ADMIN-005, AUTH-001, AUTH-002, AUTH-003, AUTH-004, AUTH-005, AUTH-006, EXIT-001, EXIT-002, EXIT-003, EXIT-004, EXIT-005, REL-001, REL-002, REL-003, REL-004</x:v>
      </x:c>
      <x:c r="E27" s="28" t="str">
        <x:v>US-001, US-002, US-003, US-004, US-005, US-006, US-007, US-008, US-009, US-010, US-083, US-084, US-085, US-086, US-087, US-104, US-105, US-106, US-107, US-108</x:v>
      </x:c>
    </x:row>
  </x:sheetData>
  <x:pageMargins left="0.7" right="0.7" top="0.75" bottom="0.75" header="0.3" footer="0.3"/>
  <x:tableParts count="1">
    <x:tablePart xmlns:r="http://schemas.openxmlformats.org/officeDocument/2006/relationships" r:id="R27300cec37ae46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21" t="str">
        <x:v>ID</x:v>
      </x:c>
      <x:c r="B1" s="21" t="str">
        <x:v>Area</x:v>
      </x:c>
      <x:c r="C1" s="21" t="str">
        <x:v>Criterion</x:v>
      </x:c>
      <x:c r="D1" s="21" t="str">
        <x:v>Priority</x:v>
      </x:c>
    </x:row>
    <x:row r="2">
      <x:c r="A2" s="28" t="str">
        <x:v>DoD-01</x:v>
      </x:c>
      <x:c r="B2" s="28" t="str">
        <x:v>Traceability</x:v>
      </x:c>
      <x:c r="C2" s="28" t="str">
        <x:v>هر Story باید به یک Requirement ID و حداقل یک CPL Trace وصل باشد.</x:v>
      </x:c>
      <x:c r="D2" s="28" t="str">
        <x:v>Must</x:v>
      </x:c>
    </x:row>
    <x:row r="3">
      <x:c r="A3" s="28" t="str">
        <x:v>DoD-02</x:v>
      </x:c>
      <x:c r="B3" s="28" t="str">
        <x:v>Acceptance Criteria</x:v>
      </x:c>
      <x:c r="C3" s="28" t="str">
        <x:v>هر Story باید معیار پذیرش تست‌پذیر داشته باشد.</x:v>
      </x:c>
      <x:c r="D3" s="28" t="str">
        <x:v>Must</x:v>
      </x:c>
    </x:row>
    <x:row r="4">
      <x:c r="A4" s="28" t="str">
        <x:v>DoD-03</x:v>
      </x:c>
      <x:c r="B4" s="28" t="str">
        <x:v>Event &amp; Analytics</x:v>
      </x:c>
      <x:c r="C4" s="28" t="str">
        <x:v>Storyهای عملیاتی باید اثر Event/KPI خود را مشخص کنند.</x:v>
      </x:c>
      <x:c r="D4" s="28" t="str">
        <x:v>Must</x:v>
      </x:c>
    </x:row>
    <x:row r="5">
      <x:c r="A5" s="28" t="str">
        <x:v>DoD-04</x:v>
      </x:c>
      <x:c r="B5" s="28" t="str">
        <x:v>Security &amp; Privacy</x:v>
      </x:c>
      <x:c r="C5" s="28" t="str">
        <x:v>Storyهای داده، کاربر، پاداش و Merchant باید نقش و سطح دسترسی را رعایت کنند.</x:v>
      </x:c>
      <x:c r="D5" s="28" t="str">
        <x:v>Must</x:v>
      </x:c>
    </x:row>
    <x:row r="6">
      <x:c r="A6" s="28" t="str">
        <x:v>DoD-05</x:v>
      </x:c>
      <x:c r="B6" s="28" t="str">
        <x:v>Pilot Readiness</x:v>
      </x:c>
      <x:c r="C6" s="28" t="str">
        <x:v>Storyهای MVCP باید Runbook، مالک عملیات و وضعیت میدانی داشته باشند.</x:v>
      </x:c>
      <x:c r="D6" s="28" t="str">
        <x:v>Must</x:v>
      </x:c>
    </x:row>
    <x:row r="7">
      <x:c r="A7" s="28" t="str">
        <x:v>DoD-06</x:v>
      </x:c>
      <x:c r="B7" s="28" t="str">
        <x:v>Commercial Proof</x:v>
      </x:c>
      <x:c r="C7" s="28" t="str">
        <x:v>Storyهای Merchant/Commercial/Analytics باید به Attribution یا Revenue Stream وصل شوند.</x:v>
      </x:c>
      <x:c r="D7" s="28" t="str">
        <x:v>Should</x:v>
      </x:c>
    </x:row>
    <x:row r="8">
      <x:c r="A8" s="28" t="str">
        <x:v>Gate-01</x:v>
      </x:c>
      <x:c r="B8" s="28" t="str">
        <x:v>Product Backlog Gate</x:v>
      </x:c>
      <x:c r="C8" s="28" t="str">
        <x:v>Backlog فقط از FRD v1.1 ساخته شده و FRD v1.0 مبنا نیست.</x:v>
      </x:c>
      <x:c r="D8" s="28" t="str">
        <x:v>Must</x:v>
      </x:c>
    </x:row>
    <x:row r="9">
      <x:c r="A9" s="28" t="str">
        <x:v>Gate-02</x:v>
      </x:c>
      <x:c r="B9" s="28" t="str">
        <x:v>Sprint Gate</x:v>
      </x:c>
      <x:c r="C9" s="28" t="str">
        <x:v>شروع Sprint 1 بعد از تکمیل Sprint 0 و تأیید Scope امکان‌پذیر است.</x:v>
      </x:c>
      <x:c r="D9" s="28" t="str">
        <x:v>Must</x:v>
      </x:c>
    </x:row>
    <x:row r="10">
      <x:c r="A10" s="28" t="str">
        <x:v>Gate-03</x:v>
      </x:c>
      <x:c r="B10" s="28" t="str">
        <x:v>Pilot Gate</x:v>
      </x:c>
      <x:c r="C10" s="28" t="str">
        <x:v>اجرای پایلوت بعد از آماده شدن Sprintهای 1 تا 5 و UAT میدانی انجام شود.</x:v>
      </x:c>
      <x:c r="D10" s="28" t="str">
        <x:v>Must</x:v>
      </x:c>
    </x:row>
  </x:sheetData>
  <x:pageMargins left="0.7" right="0.7" top="0.75" bottom="0.75" header="0.3" footer="0.3"/>
  <x:tableParts count="1">
    <x:tablePart xmlns:r="http://schemas.openxmlformats.org/officeDocument/2006/relationships" r:id="Rcea250a302704d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21" t="str">
        <x:v>Priority</x:v>
      </x:c>
      <x:c r="B1" s="21" t="str">
        <x:v>MoSCoW</x:v>
      </x:c>
      <x:c r="C1" s="21" t="str">
        <x:v>Release Scope</x:v>
      </x:c>
      <x:c r="D1" s="21" t="str">
        <x:v>Status</x:v>
      </x:c>
    </x:row>
    <x:row r="2">
      <x:c r="A2" s="28" t="str">
        <x:v>P0</x:v>
      </x:c>
      <x:c r="B2" s="28" t="str">
        <x:v>Must</x:v>
      </x:c>
      <x:c r="C2" s="28" t="str">
        <x:v>MVP</x:v>
      </x:c>
      <x:c r="D2" s="28" t="str">
        <x:v>Not Started</x:v>
      </x:c>
    </x:row>
    <x:row r="3">
      <x:c r="A3" s="28" t="str">
        <x:v>P1</x:v>
      </x:c>
      <x:c r="B3" s="28" t="str">
        <x:v>Should</x:v>
      </x:c>
      <x:c r="C3" s="28" t="str">
        <x:v>MVCP</x:v>
      </x:c>
      <x:c r="D3" s="28" t="str">
        <x:v>In Progress</x:v>
      </x:c>
    </x:row>
    <x:row r="4">
      <x:c r="A4" s="28" t="str">
        <x:v>P2</x:v>
      </x:c>
      <x:c r="B4" s="28" t="str">
        <x:v>Could</x:v>
      </x:c>
      <x:c r="C4" s="28" t="str">
        <x:v>MVP+MVCP</x:v>
      </x:c>
      <x:c r="D4" s="28" t="str">
        <x:v>Ready for Review</x:v>
      </x:c>
    </x:row>
    <x:row r="5">
      <x:c r="A5" s="28" t="str">
        <x:v>P3</x:v>
      </x:c>
      <x:c r="B5" s="28" t="str"/>
      <x:c r="C5" s="28" t="str">
        <x:v>Product</x:v>
      </x:c>
      <x:c r="D5" s="28" t="str">
        <x:v>Blocked</x:v>
      </x:c>
    </x:row>
    <x:row r="6">
      <x:c r="A6" s="28" t="str"/>
      <x:c r="B6" s="28" t="str"/>
      <x:c r="C6" s="28" t="str">
        <x:v>Demo</x:v>
      </x:c>
      <x:c r="D6" s="28" t="str">
        <x:v>Done</x:v>
      </x:c>
    </x:row>
    <x:row r="7">
      <x:c r="A7" s="28" t="str"/>
      <x:c r="B7" s="28" t="str"/>
      <x:c r="C7" s="28" t="str"/>
      <x:c r="D7" s="28" t="str">
        <x:v>Deferred</x:v>
      </x:c>
    </x:row>
  </x:sheetData>
  <x:pageMargins left="0.7" right="0.7" top="0.75" bottom="0.75" header="0.3" footer="0.3"/>
  <x:tableParts count="1">
    <x:tablePart xmlns:r="http://schemas.openxmlformats.org/officeDocument/2006/relationships" r:id="Rbf555d432da94553"/>
  </x:tableParts>
</x:worksheet>
</file>